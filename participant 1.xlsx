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 exp\"/>
    </mc:Choice>
  </mc:AlternateContent>
  <xr:revisionPtr revIDLastSave="0" documentId="13_ncr:1_{63845A8C-C682-4B5E-95F2-251C8683305A}" xr6:coauthVersionLast="47" xr6:coauthVersionMax="47" xr10:uidLastSave="{00000000-0000-0000-0000-000000000000}"/>
  <bookViews>
    <workbookView xWindow="-110" yWindow="-110" windowWidth="19420" windowHeight="11500" xr2:uid="{71AA8847-A3E0-4D6F-B88F-0041A73A1190}"/>
  </bookViews>
  <sheets>
    <sheet name="001 data" sheetId="1" r:id="rId1"/>
  </sheets>
  <definedNames>
    <definedName name="_xlnm._FilterDatabase" localSheetId="0" hidden="1">'001 data'!$A$1:$BG$36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J39" i="1"/>
  <c r="J38" i="1"/>
</calcChain>
</file>

<file path=xl/sharedStrings.xml><?xml version="1.0" encoding="utf-8"?>
<sst xmlns="http://schemas.openxmlformats.org/spreadsheetml/2006/main" count="593" uniqueCount="166">
  <si>
    <t xml:space="preserve">              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</si>
  <si>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</si>
  <si>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</si>
  <si>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</si>
  <si>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</si>
  <si>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</si>
  <si>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</si>
  <si>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</si>
  <si>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</si>
  <si>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</si>
  <si>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</si>
  <si>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</si>
  <si>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</si>
  <si>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</si>
  <si>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</si>
  <si>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</si>
  <si>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</si>
  <si>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</si>
  <si>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</si>
  <si>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</si>
  <si>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</si>
  <si>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</si>
  <si>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</si>
  <si>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</si>
  <si>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</si>
  <si>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</si>
  <si>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</si>
  <si>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</si>
  <si>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</si>
  <si>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</si>
  <si>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</si>
  <si>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</si>
  <si>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</si>
  <si>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</si>
  <si>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</si>
  <si>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</si>
  <si>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</si>
  <si>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</si>
  <si>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</si>
  <si>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</si>
  <si>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</si>
  <si>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</si>
  <si>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</si>
  <si>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</si>
  <si>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</si>
  <si>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</si>
  <si>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</si>
  <si>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</si>
  <si>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</si>
  <si>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</si>
  <si>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</si>
  <si>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</si>
  <si>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</si>
  <si>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</si>
  <si>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</si>
  <si>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</si>
  <si>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</si>
  <si>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</si>
  <si>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</si>
  <si>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salad</t>
  </si>
  <si>
    <t>2025-10-10_13h48.20.510</t>
  </si>
  <si>
    <t>word priming exp</t>
  </si>
  <si>
    <t>2025.1.1</t>
  </si>
  <si>
    <t>2025-10-10 13h48.26.589071 +0530</t>
  </si>
  <si>
    <t>phone</t>
  </si>
  <si>
    <t>burger</t>
  </si>
  <si>
    <t>board</t>
  </si>
  <si>
    <t>garden</t>
  </si>
  <si>
    <t>Chart</t>
  </si>
  <si>
    <t>Pastry</t>
  </si>
  <si>
    <t>book</t>
  </si>
  <si>
    <t>mouse</t>
  </si>
  <si>
    <t>store</t>
  </si>
  <si>
    <t>tomato</t>
  </si>
  <si>
    <t>Police</t>
  </si>
  <si>
    <t>cognitive</t>
  </si>
  <si>
    <t>cushion</t>
  </si>
  <si>
    <t>Cruise</t>
  </si>
  <si>
    <t>_a_d_n</t>
  </si>
  <si>
    <t>old</t>
  </si>
  <si>
    <t xml:space="preserve">garden
</t>
  </si>
  <si>
    <t>[np.float64(0.02)]</t>
  </si>
  <si>
    <t>[np.float64(-0.30083333333333334)]</t>
  </si>
  <si>
    <t>[1]</t>
  </si>
  <si>
    <t>[0]</t>
  </si>
  <si>
    <t>[7.583307699998841]</t>
  </si>
  <si>
    <t>['text_3']</t>
  </si>
  <si>
    <t>_ho_e</t>
  </si>
  <si>
    <t>[]</t>
  </si>
  <si>
    <t>_oo_</t>
  </si>
  <si>
    <t xml:space="preserve">boob
</t>
  </si>
  <si>
    <t>[np.float64(0.009166666666666667)]</t>
  </si>
  <si>
    <t>[np.float64(-0.2783333333333333)]</t>
  </si>
  <si>
    <t>[5.164503000094555]</t>
  </si>
  <si>
    <t>s_o_e</t>
  </si>
  <si>
    <t>shoe</t>
  </si>
  <si>
    <t>[np.float64(-0.024166666666666666)]</t>
  </si>
  <si>
    <t>[np.float64(-0.2875)]</t>
  </si>
  <si>
    <t>[5.812395200016908]</t>
  </si>
  <si>
    <t>_u_g_r</t>
  </si>
  <si>
    <t>[np.float64(0.006666666666666667)]</t>
  </si>
  <si>
    <t>[np.float64(-0.295)]</t>
  </si>
  <si>
    <t>[3.480099800042808]</t>
  </si>
  <si>
    <t>c_g_i_i_e</t>
  </si>
  <si>
    <t>[np.float64(-0.0033333333333333335)]</t>
  </si>
  <si>
    <t>[6.8618396000238135]</t>
  </si>
  <si>
    <t>s_l_d</t>
  </si>
  <si>
    <t>[np.float64(-0.28833333333333333)]</t>
  </si>
  <si>
    <t>[3.2934261999325827]</t>
  </si>
  <si>
    <t>_o_rd</t>
  </si>
  <si>
    <t>[np.float64(-0.004166666666666667)]</t>
  </si>
  <si>
    <t>[np.float64(-0.29333333333333333)]</t>
  </si>
  <si>
    <t>[3.277693299925886]</t>
  </si>
  <si>
    <t>P_s_r_</t>
  </si>
  <si>
    <t>pastry</t>
  </si>
  <si>
    <t>[np.float64(-0.013333333333333334)]</t>
  </si>
  <si>
    <t>[np.float64(-0.29833333333333334)]</t>
  </si>
  <si>
    <t>[3.7303106000181288]</t>
  </si>
  <si>
    <t>P_li_e</t>
  </si>
  <si>
    <t>police</t>
  </si>
  <si>
    <t>_o_s_</t>
  </si>
  <si>
    <t>[np.float64(-0.014166666666666666)]</t>
  </si>
  <si>
    <t>[np.float64(-0.2966666666666667)]</t>
  </si>
  <si>
    <t>[0.14333350001834333]</t>
  </si>
  <si>
    <t>bo_t_e</t>
  </si>
  <si>
    <t>bottle</t>
  </si>
  <si>
    <t>new</t>
  </si>
  <si>
    <t>bootie</t>
  </si>
  <si>
    <t>[6.197500100010075]</t>
  </si>
  <si>
    <t>c_a_t</t>
  </si>
  <si>
    <t>chart</t>
  </si>
  <si>
    <t>c</t>
  </si>
  <si>
    <t>v_s_</t>
  </si>
  <si>
    <t>vase</t>
  </si>
  <si>
    <t xml:space="preserve">visa
</t>
  </si>
  <si>
    <t>[np.float64(0.014166666666666666)]</t>
  </si>
  <si>
    <t>[np.float64(-0.31916666666666665)]</t>
  </si>
  <si>
    <t>[4.114801099989563]</t>
  </si>
  <si>
    <t>_ru_s_</t>
  </si>
  <si>
    <t>cruise</t>
  </si>
  <si>
    <t>[np.float64(-0.0025)]</t>
  </si>
  <si>
    <t>[np.float64(-0.285)]</t>
  </si>
  <si>
    <t>[4.010484699974768]</t>
  </si>
  <si>
    <t>c_s_i_n</t>
  </si>
  <si>
    <t xml:space="preserve">cushion
</t>
  </si>
  <si>
    <t>[np.float64(-0.009166666666666667)]</t>
  </si>
  <si>
    <t>[np.float64(-0.29)]</t>
  </si>
  <si>
    <t>[6.613610400003381]</t>
  </si>
  <si>
    <t>c_m_ra</t>
  </si>
  <si>
    <t>camera</t>
  </si>
  <si>
    <t>[np.float64(-0.0175)]</t>
  </si>
  <si>
    <t>[np.float64(-0.29583333333333334)]</t>
  </si>
  <si>
    <t>[3.3132471999851987]</t>
  </si>
  <si>
    <t>t_m_t_</t>
  </si>
  <si>
    <t>[np.float64(-0.03)]</t>
  </si>
  <si>
    <t>[np.float64(-0.2991666666666667)]</t>
  </si>
  <si>
    <t>[3.6646903000073507]</t>
  </si>
  <si>
    <t>p_nc_l</t>
  </si>
  <si>
    <t>pencil</t>
  </si>
  <si>
    <t>[3.492964700097218]</t>
  </si>
  <si>
    <t>ta_l_</t>
  </si>
  <si>
    <t>table</t>
  </si>
  <si>
    <t>[4.529742399929091]</t>
  </si>
  <si>
    <t>prime</t>
  </si>
  <si>
    <t>non prime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</si>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</sst>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E25A-9A9C-493E-8F30-009888243BDC}">
  <sheetPr filterMode="1"/>
  <dimension ref="A1:BG40"/>
  <sheetViews>
    <sheetView tabSelected="1" workbookViewId="0">
      <selection activeCell="J41" sqref="J41"/>
    </sheetView>
  </sheetViews>
  <sheetFormatPr defaultRowHeight="14.5" x14ac:dyDescent="0.35"/>
  <cols>
    <col min="5" max="5" width="14.81640625" customWidth="1"/>
    <col min="9" max="9" width="13.72656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hidden="1" x14ac:dyDescent="0.35">
      <c r="A2" t="s">
        <v>59</v>
      </c>
      <c r="B2">
        <v>0</v>
      </c>
      <c r="C2">
        <v>0</v>
      </c>
      <c r="D2">
        <v>0</v>
      </c>
      <c r="E2">
        <v>1</v>
      </c>
      <c r="F2">
        <v>4.8777211999986303</v>
      </c>
      <c r="R2">
        <v>0</v>
      </c>
      <c r="S2">
        <v>0</v>
      </c>
      <c r="T2">
        <v>0</v>
      </c>
      <c r="U2">
        <v>3</v>
      </c>
      <c r="Z2">
        <v>2.2554100025445199E-2</v>
      </c>
      <c r="AB2">
        <v>1.3819199986755799E-2</v>
      </c>
      <c r="AC2">
        <v>2.2554100025445199E-2</v>
      </c>
      <c r="AD2">
        <v>2.2554100025445199E-2</v>
      </c>
      <c r="AE2">
        <v>4.9036368000088197</v>
      </c>
      <c r="AF2">
        <v>1</v>
      </c>
      <c r="AG2">
        <v>4.8777211999986303</v>
      </c>
      <c r="AZ2">
        <v>1</v>
      </c>
      <c r="BA2">
        <v>1</v>
      </c>
      <c r="BB2" t="s">
        <v>60</v>
      </c>
      <c r="BC2" t="s">
        <v>61</v>
      </c>
      <c r="BE2" t="s">
        <v>62</v>
      </c>
      <c r="BF2">
        <v>60.065182757171002</v>
      </c>
      <c r="BG2" t="s">
        <v>63</v>
      </c>
    </row>
    <row r="3" spans="1:59" hidden="1" x14ac:dyDescent="0.35">
      <c r="A3" t="s">
        <v>64</v>
      </c>
      <c r="B3">
        <v>1</v>
      </c>
      <c r="C3">
        <v>1</v>
      </c>
      <c r="D3">
        <v>0</v>
      </c>
      <c r="E3">
        <v>1</v>
      </c>
      <c r="F3">
        <v>0.29656549997162002</v>
      </c>
      <c r="R3">
        <v>0</v>
      </c>
      <c r="S3">
        <v>1</v>
      </c>
      <c r="T3">
        <v>1</v>
      </c>
      <c r="U3">
        <v>2</v>
      </c>
      <c r="Z3">
        <v>4.9241309000644797</v>
      </c>
      <c r="AB3">
        <v>4.9144651000387896</v>
      </c>
      <c r="AC3">
        <v>4.9241309000644797</v>
      </c>
      <c r="AD3">
        <v>4.9241309000644797</v>
      </c>
      <c r="AE3">
        <v>5.2255420000292299</v>
      </c>
      <c r="AF3">
        <v>1</v>
      </c>
      <c r="AG3">
        <v>0.29656549997162002</v>
      </c>
      <c r="AZ3">
        <v>1</v>
      </c>
      <c r="BA3">
        <v>1</v>
      </c>
      <c r="BB3" t="s">
        <v>60</v>
      </c>
      <c r="BC3" t="s">
        <v>61</v>
      </c>
      <c r="BE3" t="s">
        <v>62</v>
      </c>
      <c r="BF3">
        <v>60.065182757171002</v>
      </c>
      <c r="BG3" t="s">
        <v>63</v>
      </c>
    </row>
    <row r="4" spans="1:59" hidden="1" x14ac:dyDescent="0.35">
      <c r="A4" t="s">
        <v>65</v>
      </c>
      <c r="B4">
        <v>2</v>
      </c>
      <c r="C4">
        <v>2</v>
      </c>
      <c r="D4">
        <v>0</v>
      </c>
      <c r="E4">
        <v>1</v>
      </c>
      <c r="F4">
        <v>1.9073741999454701</v>
      </c>
      <c r="R4">
        <v>0</v>
      </c>
      <c r="S4">
        <v>2</v>
      </c>
      <c r="T4">
        <v>2</v>
      </c>
      <c r="U4">
        <v>13</v>
      </c>
      <c r="Z4">
        <v>5.2442913000704703</v>
      </c>
      <c r="AB4">
        <v>5.23573350009974</v>
      </c>
      <c r="AC4">
        <v>5.2442913000704703</v>
      </c>
      <c r="AD4">
        <v>5.2442913000704703</v>
      </c>
      <c r="AE4">
        <v>7.1591236999956802</v>
      </c>
      <c r="AF4">
        <v>1</v>
      </c>
      <c r="AG4">
        <v>1.9073741999454701</v>
      </c>
      <c r="AZ4">
        <v>1</v>
      </c>
      <c r="BA4">
        <v>1</v>
      </c>
      <c r="BB4" t="s">
        <v>60</v>
      </c>
      <c r="BC4" t="s">
        <v>61</v>
      </c>
      <c r="BE4" t="s">
        <v>62</v>
      </c>
      <c r="BF4">
        <v>60.065182757171002</v>
      </c>
      <c r="BG4" t="s">
        <v>63</v>
      </c>
    </row>
    <row r="5" spans="1:59" hidden="1" x14ac:dyDescent="0.35">
      <c r="A5" t="s">
        <v>66</v>
      </c>
      <c r="B5">
        <v>3</v>
      </c>
      <c r="C5">
        <v>3</v>
      </c>
      <c r="D5">
        <v>0</v>
      </c>
      <c r="E5">
        <v>1</v>
      </c>
      <c r="F5">
        <v>1.50059840001631</v>
      </c>
      <c r="R5">
        <v>0</v>
      </c>
      <c r="S5">
        <v>3</v>
      </c>
      <c r="T5">
        <v>3</v>
      </c>
      <c r="U5">
        <v>4</v>
      </c>
      <c r="Z5">
        <v>7.1746413999935603</v>
      </c>
      <c r="AB5">
        <v>7.1627467999933199</v>
      </c>
      <c r="AC5">
        <v>7.1746413999935603</v>
      </c>
      <c r="AD5">
        <v>7.1746413999935603</v>
      </c>
      <c r="AE5">
        <v>8.6761467000469494</v>
      </c>
      <c r="AF5">
        <v>1</v>
      </c>
      <c r="AG5">
        <v>1.50059840001631</v>
      </c>
      <c r="AZ5">
        <v>1</v>
      </c>
      <c r="BA5">
        <v>1</v>
      </c>
      <c r="BB5" t="s">
        <v>60</v>
      </c>
      <c r="BC5" t="s">
        <v>61</v>
      </c>
      <c r="BE5" t="s">
        <v>62</v>
      </c>
      <c r="BF5">
        <v>60.065182757171002</v>
      </c>
      <c r="BG5" t="s">
        <v>63</v>
      </c>
    </row>
    <row r="6" spans="1:59" hidden="1" x14ac:dyDescent="0.35">
      <c r="A6" t="s">
        <v>67</v>
      </c>
      <c r="B6">
        <v>4</v>
      </c>
      <c r="C6">
        <v>4</v>
      </c>
      <c r="D6">
        <v>0</v>
      </c>
      <c r="E6">
        <v>1</v>
      </c>
      <c r="F6">
        <v>1.39717380004003</v>
      </c>
      <c r="R6">
        <v>0</v>
      </c>
      <c r="S6">
        <v>4</v>
      </c>
      <c r="T6">
        <v>4</v>
      </c>
      <c r="U6">
        <v>10</v>
      </c>
      <c r="Z6">
        <v>8.6917240000329894</v>
      </c>
      <c r="AB6">
        <v>8.6801796000218001</v>
      </c>
      <c r="AC6">
        <v>8.6917240000329894</v>
      </c>
      <c r="AD6">
        <v>8.6917240000329894</v>
      </c>
      <c r="AE6">
        <v>10.093203800031899</v>
      </c>
      <c r="AF6">
        <v>1</v>
      </c>
      <c r="AG6">
        <v>1.39717380004003</v>
      </c>
      <c r="AZ6">
        <v>1</v>
      </c>
      <c r="BA6">
        <v>1</v>
      </c>
      <c r="BB6" t="s">
        <v>60</v>
      </c>
      <c r="BC6" t="s">
        <v>61</v>
      </c>
      <c r="BE6" t="s">
        <v>62</v>
      </c>
      <c r="BF6">
        <v>60.065182757171002</v>
      </c>
      <c r="BG6" t="s">
        <v>63</v>
      </c>
    </row>
    <row r="7" spans="1:59" hidden="1" x14ac:dyDescent="0.35">
      <c r="A7" t="s">
        <v>68</v>
      </c>
      <c r="B7">
        <v>5</v>
      </c>
      <c r="C7">
        <v>5</v>
      </c>
      <c r="D7">
        <v>0</v>
      </c>
      <c r="E7">
        <v>1</v>
      </c>
      <c r="F7">
        <v>1.01510139997117</v>
      </c>
      <c r="R7">
        <v>0</v>
      </c>
      <c r="S7">
        <v>5</v>
      </c>
      <c r="T7">
        <v>5</v>
      </c>
      <c r="U7">
        <v>6</v>
      </c>
      <c r="Z7">
        <v>10.1084765000268</v>
      </c>
      <c r="AB7">
        <v>10.096595400012999</v>
      </c>
      <c r="AC7">
        <v>10.1084765000268</v>
      </c>
      <c r="AD7">
        <v>10.1084765000268</v>
      </c>
      <c r="AE7">
        <v>11.1264264000346</v>
      </c>
      <c r="AF7">
        <v>1</v>
      </c>
      <c r="AG7">
        <v>1.01510139997117</v>
      </c>
      <c r="AZ7">
        <v>1</v>
      </c>
      <c r="BA7">
        <v>1</v>
      </c>
      <c r="BB7" t="s">
        <v>60</v>
      </c>
      <c r="BC7" t="s">
        <v>61</v>
      </c>
      <c r="BE7" t="s">
        <v>62</v>
      </c>
      <c r="BF7">
        <v>60.065182757171002</v>
      </c>
      <c r="BG7" t="s">
        <v>63</v>
      </c>
    </row>
    <row r="8" spans="1:59" hidden="1" x14ac:dyDescent="0.35">
      <c r="A8" t="s">
        <v>69</v>
      </c>
      <c r="B8">
        <v>6</v>
      </c>
      <c r="C8">
        <v>6</v>
      </c>
      <c r="D8">
        <v>0</v>
      </c>
      <c r="E8">
        <v>1</v>
      </c>
      <c r="F8">
        <v>1.29358429997228</v>
      </c>
      <c r="R8">
        <v>0</v>
      </c>
      <c r="S8">
        <v>6</v>
      </c>
      <c r="T8">
        <v>6</v>
      </c>
      <c r="U8">
        <v>9</v>
      </c>
      <c r="Z8">
        <v>11.141846699989401</v>
      </c>
      <c r="AB8">
        <v>11.1336176000768</v>
      </c>
      <c r="AC8">
        <v>11.141846699989401</v>
      </c>
      <c r="AD8">
        <v>11.141846699989401</v>
      </c>
      <c r="AE8">
        <v>12.4434764999896</v>
      </c>
      <c r="AF8">
        <v>1</v>
      </c>
      <c r="AG8">
        <v>1.29358429997228</v>
      </c>
      <c r="AZ8">
        <v>1</v>
      </c>
      <c r="BA8">
        <v>1</v>
      </c>
      <c r="BB8" t="s">
        <v>60</v>
      </c>
      <c r="BC8" t="s">
        <v>61</v>
      </c>
      <c r="BE8" t="s">
        <v>62</v>
      </c>
      <c r="BF8">
        <v>60.065182757171002</v>
      </c>
      <c r="BG8" t="s">
        <v>63</v>
      </c>
    </row>
    <row r="9" spans="1:59" hidden="1" x14ac:dyDescent="0.35">
      <c r="A9" t="s">
        <v>70</v>
      </c>
      <c r="B9">
        <v>7</v>
      </c>
      <c r="C9">
        <v>7</v>
      </c>
      <c r="D9">
        <v>0</v>
      </c>
      <c r="E9">
        <v>1</v>
      </c>
      <c r="F9">
        <v>1.03151739994063</v>
      </c>
      <c r="R9">
        <v>0</v>
      </c>
      <c r="S9">
        <v>7</v>
      </c>
      <c r="T9">
        <v>7</v>
      </c>
      <c r="U9">
        <v>0</v>
      </c>
      <c r="Z9">
        <v>12.458768300013601</v>
      </c>
      <c r="AB9">
        <v>12.4469226000364</v>
      </c>
      <c r="AC9">
        <v>12.458768300013601</v>
      </c>
      <c r="AD9">
        <v>12.458768300013601</v>
      </c>
      <c r="AE9">
        <v>13.493755500065101</v>
      </c>
      <c r="AF9">
        <v>1</v>
      </c>
      <c r="AG9">
        <v>1.03151739994063</v>
      </c>
      <c r="AZ9">
        <v>1</v>
      </c>
      <c r="BA9">
        <v>1</v>
      </c>
      <c r="BB9" t="s">
        <v>60</v>
      </c>
      <c r="BC9" t="s">
        <v>61</v>
      </c>
      <c r="BE9" t="s">
        <v>62</v>
      </c>
      <c r="BF9">
        <v>60.065182757171002</v>
      </c>
      <c r="BG9" t="s">
        <v>63</v>
      </c>
    </row>
    <row r="10" spans="1:59" hidden="1" x14ac:dyDescent="0.35">
      <c r="A10" t="s">
        <v>71</v>
      </c>
      <c r="B10">
        <v>8</v>
      </c>
      <c r="C10">
        <v>8</v>
      </c>
      <c r="D10">
        <v>0</v>
      </c>
      <c r="E10">
        <v>1</v>
      </c>
      <c r="F10">
        <v>1.0633777999319101</v>
      </c>
      <c r="R10">
        <v>0</v>
      </c>
      <c r="S10">
        <v>8</v>
      </c>
      <c r="T10">
        <v>8</v>
      </c>
      <c r="U10">
        <v>8</v>
      </c>
      <c r="Z10">
        <v>13.509079000097699</v>
      </c>
      <c r="AB10">
        <v>13.4973991999868</v>
      </c>
      <c r="AC10">
        <v>13.509079000097699</v>
      </c>
      <c r="AD10">
        <v>13.509079000097699</v>
      </c>
      <c r="AE10">
        <v>14.5773177000228</v>
      </c>
      <c r="AF10">
        <v>1</v>
      </c>
      <c r="AG10">
        <v>1.0633777999319101</v>
      </c>
      <c r="AZ10">
        <v>1</v>
      </c>
      <c r="BA10">
        <v>1</v>
      </c>
      <c r="BB10" t="s">
        <v>60</v>
      </c>
      <c r="BC10" t="s">
        <v>61</v>
      </c>
      <c r="BE10" t="s">
        <v>62</v>
      </c>
      <c r="BF10">
        <v>60.065182757171002</v>
      </c>
      <c r="BG10" t="s">
        <v>63</v>
      </c>
    </row>
    <row r="11" spans="1:59" hidden="1" x14ac:dyDescent="0.35">
      <c r="A11" t="s">
        <v>72</v>
      </c>
      <c r="B11">
        <v>9</v>
      </c>
      <c r="C11">
        <v>9</v>
      </c>
      <c r="D11">
        <v>0</v>
      </c>
      <c r="E11">
        <v>1</v>
      </c>
      <c r="F11">
        <v>0.86358590004965596</v>
      </c>
      <c r="R11">
        <v>0</v>
      </c>
      <c r="S11">
        <v>9</v>
      </c>
      <c r="T11">
        <v>9</v>
      </c>
      <c r="U11">
        <v>5</v>
      </c>
      <c r="Z11">
        <v>14.592759500024799</v>
      </c>
      <c r="AB11">
        <v>14.5814024000428</v>
      </c>
      <c r="AC11">
        <v>14.592759500024799</v>
      </c>
      <c r="AD11">
        <v>14.592759500024799</v>
      </c>
      <c r="AE11">
        <v>15.4608412000816</v>
      </c>
      <c r="AF11">
        <v>1</v>
      </c>
      <c r="AG11">
        <v>0.86358590004965596</v>
      </c>
      <c r="AZ11">
        <v>1</v>
      </c>
      <c r="BA11">
        <v>1</v>
      </c>
      <c r="BB11" t="s">
        <v>60</v>
      </c>
      <c r="BC11" t="s">
        <v>61</v>
      </c>
      <c r="BE11" t="s">
        <v>62</v>
      </c>
      <c r="BF11">
        <v>60.065182757171002</v>
      </c>
      <c r="BG11" t="s">
        <v>63</v>
      </c>
    </row>
    <row r="12" spans="1:59" hidden="1" x14ac:dyDescent="0.35">
      <c r="A12" t="s">
        <v>73</v>
      </c>
      <c r="B12">
        <v>10</v>
      </c>
      <c r="C12">
        <v>10</v>
      </c>
      <c r="D12">
        <v>0</v>
      </c>
      <c r="E12">
        <v>1</v>
      </c>
      <c r="F12">
        <v>1.2130633000051601</v>
      </c>
      <c r="R12">
        <v>0</v>
      </c>
      <c r="S12">
        <v>10</v>
      </c>
      <c r="T12">
        <v>10</v>
      </c>
      <c r="U12">
        <v>14</v>
      </c>
      <c r="Z12">
        <v>15.47621350002</v>
      </c>
      <c r="AB12">
        <v>15.4652945999987</v>
      </c>
      <c r="AC12">
        <v>15.47621350002</v>
      </c>
      <c r="AD12">
        <v>15.47621350002</v>
      </c>
      <c r="AE12">
        <v>16.694475700030999</v>
      </c>
      <c r="AF12">
        <v>1</v>
      </c>
      <c r="AG12">
        <v>1.2130633000051601</v>
      </c>
      <c r="AZ12">
        <v>1</v>
      </c>
      <c r="BA12">
        <v>1</v>
      </c>
      <c r="BB12" t="s">
        <v>60</v>
      </c>
      <c r="BC12" t="s">
        <v>61</v>
      </c>
      <c r="BE12" t="s">
        <v>62</v>
      </c>
      <c r="BF12">
        <v>60.065182757171002</v>
      </c>
      <c r="BG12" t="s">
        <v>63</v>
      </c>
    </row>
    <row r="13" spans="1:59" hidden="1" x14ac:dyDescent="0.35">
      <c r="A13" t="s">
        <v>74</v>
      </c>
      <c r="B13">
        <v>11</v>
      </c>
      <c r="C13">
        <v>11</v>
      </c>
      <c r="D13">
        <v>0</v>
      </c>
      <c r="E13">
        <v>1</v>
      </c>
      <c r="F13">
        <v>1.0970487999729801</v>
      </c>
      <c r="R13">
        <v>0</v>
      </c>
      <c r="S13">
        <v>11</v>
      </c>
      <c r="T13">
        <v>11</v>
      </c>
      <c r="U13">
        <v>12</v>
      </c>
      <c r="Z13">
        <v>16.709725300082901</v>
      </c>
      <c r="AB13">
        <v>16.698371400008899</v>
      </c>
      <c r="AC13">
        <v>16.709725300082901</v>
      </c>
      <c r="AD13">
        <v>16.709725300082901</v>
      </c>
      <c r="AE13">
        <v>17.811489599989699</v>
      </c>
      <c r="AF13">
        <v>1</v>
      </c>
      <c r="AG13">
        <v>1.0970487999729801</v>
      </c>
      <c r="AZ13">
        <v>1</v>
      </c>
      <c r="BA13">
        <v>1</v>
      </c>
      <c r="BB13" t="s">
        <v>60</v>
      </c>
      <c r="BC13" t="s">
        <v>61</v>
      </c>
      <c r="BE13" t="s">
        <v>62</v>
      </c>
      <c r="BF13">
        <v>60.065182757171002</v>
      </c>
      <c r="BG13" t="s">
        <v>63</v>
      </c>
    </row>
    <row r="14" spans="1:59" hidden="1" x14ac:dyDescent="0.35">
      <c r="A14" t="s">
        <v>75</v>
      </c>
      <c r="B14">
        <v>12</v>
      </c>
      <c r="C14">
        <v>12</v>
      </c>
      <c r="D14">
        <v>0</v>
      </c>
      <c r="E14">
        <v>2.9833333333333298</v>
      </c>
      <c r="F14">
        <v>2.3272846000036198</v>
      </c>
      <c r="R14">
        <v>0</v>
      </c>
      <c r="S14">
        <v>12</v>
      </c>
      <c r="T14">
        <v>12</v>
      </c>
      <c r="U14">
        <v>7</v>
      </c>
      <c r="Z14">
        <v>17.828084400040002</v>
      </c>
      <c r="AB14">
        <v>17.819590400089499</v>
      </c>
      <c r="AC14">
        <v>17.828084400040002</v>
      </c>
      <c r="AD14">
        <v>17.828084400040002</v>
      </c>
      <c r="AE14">
        <v>20.161686500068701</v>
      </c>
      <c r="AF14">
        <v>2.9833333333333298</v>
      </c>
      <c r="AG14">
        <v>2.3272846000036198</v>
      </c>
      <c r="AZ14">
        <v>1</v>
      </c>
      <c r="BA14">
        <v>1</v>
      </c>
      <c r="BB14" t="s">
        <v>60</v>
      </c>
      <c r="BC14" t="s">
        <v>61</v>
      </c>
      <c r="BE14" t="s">
        <v>62</v>
      </c>
      <c r="BF14">
        <v>60.065182757171002</v>
      </c>
      <c r="BG14" t="s">
        <v>63</v>
      </c>
    </row>
    <row r="15" spans="1:59" hidden="1" x14ac:dyDescent="0.35">
      <c r="A15" t="s">
        <v>76</v>
      </c>
      <c r="B15">
        <v>13</v>
      </c>
      <c r="C15">
        <v>13</v>
      </c>
      <c r="D15">
        <v>0</v>
      </c>
      <c r="E15">
        <v>1.07</v>
      </c>
      <c r="F15">
        <v>2.1975536999525498</v>
      </c>
      <c r="R15">
        <v>0</v>
      </c>
      <c r="S15">
        <v>13</v>
      </c>
      <c r="T15">
        <v>13</v>
      </c>
      <c r="U15">
        <v>1</v>
      </c>
      <c r="Z15">
        <v>20.177156300051099</v>
      </c>
      <c r="AB15">
        <v>20.165477600065</v>
      </c>
      <c r="AC15">
        <v>20.177156300051099</v>
      </c>
      <c r="AD15">
        <v>20.177156300051099</v>
      </c>
      <c r="AE15">
        <v>22.378893300076001</v>
      </c>
      <c r="AF15">
        <v>1.07</v>
      </c>
      <c r="AG15">
        <v>2.1975536999525498</v>
      </c>
      <c r="AZ15">
        <v>1</v>
      </c>
      <c r="BA15">
        <v>1</v>
      </c>
      <c r="BB15" t="s">
        <v>60</v>
      </c>
      <c r="BC15" t="s">
        <v>61</v>
      </c>
      <c r="BE15" t="s">
        <v>62</v>
      </c>
      <c r="BF15">
        <v>60.065182757171002</v>
      </c>
      <c r="BG15" t="s">
        <v>63</v>
      </c>
    </row>
    <row r="16" spans="1:59" hidden="1" x14ac:dyDescent="0.35">
      <c r="A16" t="s">
        <v>77</v>
      </c>
      <c r="B16">
        <v>14</v>
      </c>
      <c r="C16">
        <v>14</v>
      </c>
      <c r="D16">
        <v>0</v>
      </c>
      <c r="E16">
        <v>1.07</v>
      </c>
      <c r="F16">
        <v>1.13054929999634</v>
      </c>
      <c r="R16">
        <v>0</v>
      </c>
      <c r="S16">
        <v>14</v>
      </c>
      <c r="T16">
        <v>14</v>
      </c>
      <c r="U16">
        <v>11</v>
      </c>
      <c r="Z16">
        <v>22.394056000048199</v>
      </c>
      <c r="AB16">
        <v>22.382549700094302</v>
      </c>
      <c r="AC16">
        <v>22.394056000048199</v>
      </c>
      <c r="AD16">
        <v>22.394056000048199</v>
      </c>
      <c r="AE16">
        <v>23.529223400051698</v>
      </c>
      <c r="AF16">
        <v>1.07</v>
      </c>
      <c r="AG16">
        <v>1.13054929999634</v>
      </c>
      <c r="AZ16">
        <v>1</v>
      </c>
      <c r="BA16">
        <v>1</v>
      </c>
      <c r="BB16" t="s">
        <v>60</v>
      </c>
      <c r="BC16" t="s">
        <v>61</v>
      </c>
      <c r="BE16" t="s">
        <v>62</v>
      </c>
      <c r="BF16">
        <v>60.065182757171002</v>
      </c>
      <c r="BG16" t="s">
        <v>63</v>
      </c>
    </row>
    <row r="17" spans="2:59" ht="29" hidden="1" x14ac:dyDescent="0.35">
      <c r="B17">
        <v>0</v>
      </c>
      <c r="C17">
        <v>0</v>
      </c>
      <c r="D17">
        <v>0</v>
      </c>
      <c r="G17" t="s">
        <v>78</v>
      </c>
      <c r="H17" t="s">
        <v>67</v>
      </c>
      <c r="I17" t="s">
        <v>79</v>
      </c>
      <c r="J17" s="1" t="s">
        <v>80</v>
      </c>
      <c r="K17" t="s">
        <v>81</v>
      </c>
      <c r="L17" t="s">
        <v>82</v>
      </c>
      <c r="M17" t="s">
        <v>83</v>
      </c>
      <c r="N17" t="s">
        <v>84</v>
      </c>
      <c r="O17" t="s">
        <v>84</v>
      </c>
      <c r="P17" t="s">
        <v>85</v>
      </c>
      <c r="Q17" t="s">
        <v>86</v>
      </c>
      <c r="V17">
        <v>0</v>
      </c>
      <c r="W17">
        <v>0</v>
      </c>
      <c r="X17">
        <v>0</v>
      </c>
      <c r="Y17">
        <v>9</v>
      </c>
      <c r="Z17">
        <v>23.558459300082099</v>
      </c>
      <c r="AH17">
        <v>23.547142900060798</v>
      </c>
      <c r="AI17">
        <v>23.558459300082099</v>
      </c>
      <c r="AJ17">
        <v>23.558459300082099</v>
      </c>
      <c r="AK17">
        <v>23.558459300082099</v>
      </c>
      <c r="AL17">
        <v>1.7895099939778399E-2</v>
      </c>
      <c r="AM17">
        <v>31.130788400070699</v>
      </c>
      <c r="AN17" s="1" t="s">
        <v>80</v>
      </c>
      <c r="AO17" t="s">
        <v>81</v>
      </c>
      <c r="AP17" t="s">
        <v>82</v>
      </c>
      <c r="AQ17" t="s">
        <v>83</v>
      </c>
      <c r="AR17" t="s">
        <v>84</v>
      </c>
      <c r="AS17" t="s">
        <v>84</v>
      </c>
      <c r="AT17" t="s">
        <v>85</v>
      </c>
      <c r="AU17" t="s">
        <v>86</v>
      </c>
      <c r="AZ17">
        <v>1</v>
      </c>
      <c r="BA17">
        <v>1</v>
      </c>
      <c r="BB17" t="s">
        <v>60</v>
      </c>
      <c r="BC17" t="s">
        <v>61</v>
      </c>
      <c r="BE17" t="s">
        <v>62</v>
      </c>
      <c r="BF17">
        <v>60.065182757171002</v>
      </c>
      <c r="BG17" t="s">
        <v>63</v>
      </c>
    </row>
    <row r="18" spans="2:59" hidden="1" x14ac:dyDescent="0.35">
      <c r="B18">
        <v>1</v>
      </c>
      <c r="C18">
        <v>1</v>
      </c>
      <c r="D18">
        <v>0</v>
      </c>
      <c r="G18" t="s">
        <v>87</v>
      </c>
      <c r="H18" t="s">
        <v>64</v>
      </c>
      <c r="I18" t="s">
        <v>79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V18">
        <v>0</v>
      </c>
      <c r="W18">
        <v>1</v>
      </c>
      <c r="X18">
        <v>1</v>
      </c>
      <c r="Y18">
        <v>2</v>
      </c>
      <c r="Z18">
        <v>31.1457530000479</v>
      </c>
      <c r="AH18">
        <v>31.1350663000484</v>
      </c>
      <c r="AI18">
        <v>31.1457530000479</v>
      </c>
      <c r="AJ18">
        <v>31.1457530000479</v>
      </c>
      <c r="AK18">
        <v>31.1457530000479</v>
      </c>
      <c r="AL18">
        <v>4.0507999947294497E-3</v>
      </c>
      <c r="AM18">
        <v>41.131337400060097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Z18">
        <v>1</v>
      </c>
      <c r="BA18">
        <v>1</v>
      </c>
      <c r="BB18" t="s">
        <v>60</v>
      </c>
      <c r="BC18" t="s">
        <v>61</v>
      </c>
      <c r="BE18" t="s">
        <v>62</v>
      </c>
      <c r="BF18">
        <v>60.065182757171002</v>
      </c>
      <c r="BG18" t="s">
        <v>63</v>
      </c>
    </row>
    <row r="19" spans="2:59" ht="29" hidden="1" x14ac:dyDescent="0.35">
      <c r="B19">
        <v>2</v>
      </c>
      <c r="C19">
        <v>2</v>
      </c>
      <c r="D19">
        <v>0</v>
      </c>
      <c r="G19" t="s">
        <v>89</v>
      </c>
      <c r="H19" t="s">
        <v>70</v>
      </c>
      <c r="I19" t="s">
        <v>79</v>
      </c>
      <c r="J19" s="1" t="s">
        <v>90</v>
      </c>
      <c r="K19" t="s">
        <v>91</v>
      </c>
      <c r="L19" t="s">
        <v>92</v>
      </c>
      <c r="M19" t="s">
        <v>83</v>
      </c>
      <c r="N19" t="s">
        <v>84</v>
      </c>
      <c r="O19" t="s">
        <v>84</v>
      </c>
      <c r="P19" t="s">
        <v>93</v>
      </c>
      <c r="Q19" t="s">
        <v>86</v>
      </c>
      <c r="V19">
        <v>0</v>
      </c>
      <c r="W19">
        <v>2</v>
      </c>
      <c r="X19">
        <v>2</v>
      </c>
      <c r="Y19">
        <v>0</v>
      </c>
      <c r="Z19">
        <v>41.147558400058102</v>
      </c>
      <c r="AH19">
        <v>41.135186600033101</v>
      </c>
      <c r="AI19">
        <v>41.147558400058102</v>
      </c>
      <c r="AJ19">
        <v>41.147558400058102</v>
      </c>
      <c r="AK19">
        <v>41.147558400058102</v>
      </c>
      <c r="AL19">
        <v>4.1690999642014503E-3</v>
      </c>
      <c r="AM19">
        <v>46.300031600054297</v>
      </c>
      <c r="AN19" s="1" t="s">
        <v>90</v>
      </c>
      <c r="AO19" t="s">
        <v>91</v>
      </c>
      <c r="AP19" t="s">
        <v>92</v>
      </c>
      <c r="AQ19" t="s">
        <v>83</v>
      </c>
      <c r="AR19" t="s">
        <v>84</v>
      </c>
      <c r="AS19" t="s">
        <v>84</v>
      </c>
      <c r="AT19" t="s">
        <v>93</v>
      </c>
      <c r="AU19" t="s">
        <v>86</v>
      </c>
      <c r="AZ19">
        <v>1</v>
      </c>
      <c r="BA19">
        <v>1</v>
      </c>
      <c r="BB19" t="s">
        <v>60</v>
      </c>
      <c r="BC19" t="s">
        <v>61</v>
      </c>
      <c r="BE19" t="s">
        <v>62</v>
      </c>
      <c r="BF19">
        <v>60.065182757171002</v>
      </c>
      <c r="BG19" t="s">
        <v>63</v>
      </c>
    </row>
    <row r="20" spans="2:59" hidden="1" x14ac:dyDescent="0.35">
      <c r="B20">
        <v>3</v>
      </c>
      <c r="C20">
        <v>3</v>
      </c>
      <c r="D20">
        <v>0</v>
      </c>
      <c r="G20" t="s">
        <v>94</v>
      </c>
      <c r="H20" t="s">
        <v>72</v>
      </c>
      <c r="I20" t="s">
        <v>79</v>
      </c>
      <c r="J20" t="s">
        <v>95</v>
      </c>
      <c r="K20" t="s">
        <v>96</v>
      </c>
      <c r="L20" t="s">
        <v>97</v>
      </c>
      <c r="M20" t="s">
        <v>83</v>
      </c>
      <c r="N20" t="s">
        <v>84</v>
      </c>
      <c r="O20" t="s">
        <v>84</v>
      </c>
      <c r="P20" t="s">
        <v>98</v>
      </c>
      <c r="Q20" t="s">
        <v>86</v>
      </c>
      <c r="V20">
        <v>0</v>
      </c>
      <c r="W20">
        <v>3</v>
      </c>
      <c r="X20">
        <v>3</v>
      </c>
      <c r="Y20">
        <v>11</v>
      </c>
      <c r="Z20">
        <v>46.314956100075499</v>
      </c>
      <c r="AH20">
        <v>46.304963900009099</v>
      </c>
      <c r="AI20">
        <v>46.314956100075499</v>
      </c>
      <c r="AJ20">
        <v>46.314956100075499</v>
      </c>
      <c r="AK20">
        <v>46.314956100075499</v>
      </c>
      <c r="AL20">
        <v>4.7736000269651404E-3</v>
      </c>
      <c r="AM20">
        <v>52.1178538000676</v>
      </c>
      <c r="AN20" t="s">
        <v>95</v>
      </c>
      <c r="AO20" t="s">
        <v>96</v>
      </c>
      <c r="AP20" t="s">
        <v>97</v>
      </c>
      <c r="AQ20" t="s">
        <v>83</v>
      </c>
      <c r="AR20" t="s">
        <v>84</v>
      </c>
      <c r="AS20" t="s">
        <v>84</v>
      </c>
      <c r="AT20" t="s">
        <v>98</v>
      </c>
      <c r="AU20" t="s">
        <v>86</v>
      </c>
      <c r="AZ20">
        <v>1</v>
      </c>
      <c r="BA20">
        <v>1</v>
      </c>
      <c r="BB20" t="s">
        <v>60</v>
      </c>
      <c r="BC20" t="s">
        <v>61</v>
      </c>
      <c r="BE20" t="s">
        <v>62</v>
      </c>
      <c r="BF20">
        <v>60.065182757171002</v>
      </c>
      <c r="BG20" t="s">
        <v>63</v>
      </c>
    </row>
    <row r="21" spans="2:59" hidden="1" x14ac:dyDescent="0.35">
      <c r="B21">
        <v>4</v>
      </c>
      <c r="C21">
        <v>4</v>
      </c>
      <c r="D21">
        <v>0</v>
      </c>
      <c r="G21" t="s">
        <v>99</v>
      </c>
      <c r="H21" t="s">
        <v>65</v>
      </c>
      <c r="I21" t="s">
        <v>79</v>
      </c>
      <c r="J21" t="s">
        <v>65</v>
      </c>
      <c r="K21" t="s">
        <v>100</v>
      </c>
      <c r="L21" t="s">
        <v>101</v>
      </c>
      <c r="M21" t="s">
        <v>83</v>
      </c>
      <c r="N21" t="s">
        <v>84</v>
      </c>
      <c r="O21" t="s">
        <v>84</v>
      </c>
      <c r="P21" t="s">
        <v>102</v>
      </c>
      <c r="Q21" t="s">
        <v>86</v>
      </c>
      <c r="V21">
        <v>0</v>
      </c>
      <c r="W21">
        <v>4</v>
      </c>
      <c r="X21">
        <v>4</v>
      </c>
      <c r="Y21">
        <v>5</v>
      </c>
      <c r="Z21">
        <v>52.132849300047297</v>
      </c>
      <c r="AH21">
        <v>52.122955200029502</v>
      </c>
      <c r="AI21">
        <v>52.132849300047297</v>
      </c>
      <c r="AJ21">
        <v>52.132849300047297</v>
      </c>
      <c r="AK21">
        <v>52.132849300047297</v>
      </c>
      <c r="AL21">
        <v>4.86350001301616E-3</v>
      </c>
      <c r="AM21">
        <v>55.603462900034998</v>
      </c>
      <c r="AN21" t="s">
        <v>65</v>
      </c>
      <c r="AO21" t="s">
        <v>100</v>
      </c>
      <c r="AP21" t="s">
        <v>101</v>
      </c>
      <c r="AQ21" t="s">
        <v>83</v>
      </c>
      <c r="AR21" t="s">
        <v>84</v>
      </c>
      <c r="AS21" t="s">
        <v>84</v>
      </c>
      <c r="AT21" t="s">
        <v>102</v>
      </c>
      <c r="AU21" t="s">
        <v>86</v>
      </c>
      <c r="AZ21">
        <v>1</v>
      </c>
      <c r="BA21">
        <v>1</v>
      </c>
      <c r="BB21" t="s">
        <v>60</v>
      </c>
      <c r="BC21" t="s">
        <v>61</v>
      </c>
      <c r="BE21" t="s">
        <v>62</v>
      </c>
      <c r="BF21">
        <v>60.065182757171002</v>
      </c>
      <c r="BG21" t="s">
        <v>63</v>
      </c>
    </row>
    <row r="22" spans="2:59" hidden="1" x14ac:dyDescent="0.35">
      <c r="B22">
        <v>5</v>
      </c>
      <c r="C22">
        <v>5</v>
      </c>
      <c r="D22">
        <v>0</v>
      </c>
      <c r="G22" t="s">
        <v>103</v>
      </c>
      <c r="H22" t="s">
        <v>75</v>
      </c>
      <c r="I22" t="s">
        <v>79</v>
      </c>
      <c r="J22" t="s">
        <v>75</v>
      </c>
      <c r="K22" t="s">
        <v>104</v>
      </c>
      <c r="L22" t="s">
        <v>97</v>
      </c>
      <c r="M22" t="s">
        <v>83</v>
      </c>
      <c r="N22" t="s">
        <v>84</v>
      </c>
      <c r="O22" t="s">
        <v>84</v>
      </c>
      <c r="P22" t="s">
        <v>105</v>
      </c>
      <c r="Q22" t="s">
        <v>86</v>
      </c>
      <c r="V22">
        <v>0</v>
      </c>
      <c r="W22">
        <v>5</v>
      </c>
      <c r="X22">
        <v>5</v>
      </c>
      <c r="Y22">
        <v>12</v>
      </c>
      <c r="Z22">
        <v>55.6169903000118</v>
      </c>
      <c r="AH22">
        <v>55.608537600026402</v>
      </c>
      <c r="AI22">
        <v>55.6169903000118</v>
      </c>
      <c r="AJ22">
        <v>55.6169903000118</v>
      </c>
      <c r="AK22">
        <v>55.6169903000118</v>
      </c>
      <c r="AL22">
        <v>4.8495000228285703E-3</v>
      </c>
      <c r="AM22">
        <v>62.470863300026302</v>
      </c>
      <c r="AN22" t="s">
        <v>75</v>
      </c>
      <c r="AO22" t="s">
        <v>104</v>
      </c>
      <c r="AP22" t="s">
        <v>97</v>
      </c>
      <c r="AQ22" t="s">
        <v>83</v>
      </c>
      <c r="AR22" t="s">
        <v>84</v>
      </c>
      <c r="AS22" t="s">
        <v>84</v>
      </c>
      <c r="AT22" t="s">
        <v>105</v>
      </c>
      <c r="AU22" t="s">
        <v>86</v>
      </c>
      <c r="AZ22">
        <v>1</v>
      </c>
      <c r="BA22">
        <v>1</v>
      </c>
      <c r="BB22" t="s">
        <v>60</v>
      </c>
      <c r="BC22" t="s">
        <v>61</v>
      </c>
      <c r="BE22" t="s">
        <v>62</v>
      </c>
      <c r="BF22">
        <v>60.065182757171002</v>
      </c>
      <c r="BG22" t="s">
        <v>63</v>
      </c>
    </row>
    <row r="23" spans="2:59" hidden="1" x14ac:dyDescent="0.35">
      <c r="B23">
        <v>6</v>
      </c>
      <c r="C23">
        <v>6</v>
      </c>
      <c r="D23">
        <v>0</v>
      </c>
      <c r="G23" t="s">
        <v>106</v>
      </c>
      <c r="H23" t="s">
        <v>59</v>
      </c>
      <c r="I23" t="s">
        <v>79</v>
      </c>
      <c r="J23" t="s">
        <v>59</v>
      </c>
      <c r="K23" t="s">
        <v>104</v>
      </c>
      <c r="L23" t="s">
        <v>107</v>
      </c>
      <c r="M23" t="s">
        <v>83</v>
      </c>
      <c r="N23" t="s">
        <v>84</v>
      </c>
      <c r="O23" t="s">
        <v>84</v>
      </c>
      <c r="P23" t="s">
        <v>108</v>
      </c>
      <c r="Q23" t="s">
        <v>86</v>
      </c>
      <c r="V23">
        <v>0</v>
      </c>
      <c r="W23">
        <v>6</v>
      </c>
      <c r="X23">
        <v>6</v>
      </c>
      <c r="Y23">
        <v>3</v>
      </c>
      <c r="Z23">
        <v>62.485273800091797</v>
      </c>
      <c r="AH23">
        <v>62.476420000079003</v>
      </c>
      <c r="AI23">
        <v>62.485273800091797</v>
      </c>
      <c r="AJ23">
        <v>62.485273800091797</v>
      </c>
      <c r="AK23">
        <v>62.485273800091797</v>
      </c>
      <c r="AL23">
        <v>5.26430003810673E-3</v>
      </c>
      <c r="AM23">
        <v>65.770340800052495</v>
      </c>
      <c r="AN23" t="s">
        <v>59</v>
      </c>
      <c r="AO23" t="s">
        <v>104</v>
      </c>
      <c r="AP23" t="s">
        <v>107</v>
      </c>
      <c r="AQ23" t="s">
        <v>83</v>
      </c>
      <c r="AR23" t="s">
        <v>84</v>
      </c>
      <c r="AS23" t="s">
        <v>84</v>
      </c>
      <c r="AT23" t="s">
        <v>108</v>
      </c>
      <c r="AU23" t="s">
        <v>86</v>
      </c>
      <c r="AZ23">
        <v>1</v>
      </c>
      <c r="BA23">
        <v>1</v>
      </c>
      <c r="BB23" t="s">
        <v>60</v>
      </c>
      <c r="BC23" t="s">
        <v>61</v>
      </c>
      <c r="BE23" t="s">
        <v>62</v>
      </c>
      <c r="BF23">
        <v>60.065182757171002</v>
      </c>
      <c r="BG23" t="s">
        <v>63</v>
      </c>
    </row>
    <row r="24" spans="2:59" hidden="1" x14ac:dyDescent="0.35">
      <c r="B24">
        <v>7</v>
      </c>
      <c r="C24">
        <v>7</v>
      </c>
      <c r="D24">
        <v>0</v>
      </c>
      <c r="G24" t="s">
        <v>109</v>
      </c>
      <c r="H24" t="s">
        <v>66</v>
      </c>
      <c r="I24" t="s">
        <v>79</v>
      </c>
      <c r="J24" t="s">
        <v>66</v>
      </c>
      <c r="K24" t="s">
        <v>110</v>
      </c>
      <c r="L24" t="s">
        <v>111</v>
      </c>
      <c r="M24" t="s">
        <v>83</v>
      </c>
      <c r="N24" t="s">
        <v>84</v>
      </c>
      <c r="O24" t="s">
        <v>84</v>
      </c>
      <c r="P24" t="s">
        <v>112</v>
      </c>
      <c r="Q24" t="s">
        <v>86</v>
      </c>
      <c r="V24">
        <v>0</v>
      </c>
      <c r="W24">
        <v>7</v>
      </c>
      <c r="X24">
        <v>7</v>
      </c>
      <c r="Y24">
        <v>10</v>
      </c>
      <c r="Z24">
        <v>65.786896000034105</v>
      </c>
      <c r="AH24">
        <v>65.7760523000033</v>
      </c>
      <c r="AI24">
        <v>65.786896000034105</v>
      </c>
      <c r="AJ24">
        <v>65.786896000034105</v>
      </c>
      <c r="AK24">
        <v>65.786896000034105</v>
      </c>
      <c r="AL24">
        <v>5.4095999803394001E-3</v>
      </c>
      <c r="AM24">
        <v>69.054129700060003</v>
      </c>
      <c r="AN24" t="s">
        <v>66</v>
      </c>
      <c r="AO24" t="s">
        <v>110</v>
      </c>
      <c r="AP24" t="s">
        <v>111</v>
      </c>
      <c r="AQ24" t="s">
        <v>83</v>
      </c>
      <c r="AR24" t="s">
        <v>84</v>
      </c>
      <c r="AS24" t="s">
        <v>84</v>
      </c>
      <c r="AT24" t="s">
        <v>112</v>
      </c>
      <c r="AU24" t="s">
        <v>86</v>
      </c>
      <c r="AZ24">
        <v>1</v>
      </c>
      <c r="BA24">
        <v>1</v>
      </c>
      <c r="BB24" t="s">
        <v>60</v>
      </c>
      <c r="BC24" t="s">
        <v>61</v>
      </c>
      <c r="BE24" t="s">
        <v>62</v>
      </c>
      <c r="BF24">
        <v>60.065182757171002</v>
      </c>
      <c r="BG24" t="s">
        <v>63</v>
      </c>
    </row>
    <row r="25" spans="2:59" hidden="1" x14ac:dyDescent="0.35">
      <c r="B25">
        <v>8</v>
      </c>
      <c r="C25">
        <v>8</v>
      </c>
      <c r="D25">
        <v>0</v>
      </c>
      <c r="G25" t="s">
        <v>113</v>
      </c>
      <c r="H25" t="s">
        <v>114</v>
      </c>
      <c r="I25" t="s">
        <v>79</v>
      </c>
      <c r="J25" t="s">
        <v>114</v>
      </c>
      <c r="K25" t="s">
        <v>115</v>
      </c>
      <c r="L25" t="s">
        <v>116</v>
      </c>
      <c r="M25" t="s">
        <v>83</v>
      </c>
      <c r="N25" t="s">
        <v>84</v>
      </c>
      <c r="O25" t="s">
        <v>84</v>
      </c>
      <c r="P25" t="s">
        <v>117</v>
      </c>
      <c r="Q25" t="s">
        <v>86</v>
      </c>
      <c r="V25">
        <v>0</v>
      </c>
      <c r="W25">
        <v>8</v>
      </c>
      <c r="X25">
        <v>8</v>
      </c>
      <c r="Y25">
        <v>4</v>
      </c>
      <c r="Z25">
        <v>69.068971500033499</v>
      </c>
      <c r="AH25">
        <v>69.058362800045799</v>
      </c>
      <c r="AI25">
        <v>69.068971500033499</v>
      </c>
      <c r="AJ25">
        <v>69.068971500033499</v>
      </c>
      <c r="AK25">
        <v>69.068971500033499</v>
      </c>
      <c r="AL25">
        <v>4.0828000055626E-3</v>
      </c>
      <c r="AM25">
        <v>72.789050100021996</v>
      </c>
      <c r="AN25" t="s">
        <v>114</v>
      </c>
      <c r="AO25" t="s">
        <v>115</v>
      </c>
      <c r="AP25" t="s">
        <v>116</v>
      </c>
      <c r="AQ25" t="s">
        <v>83</v>
      </c>
      <c r="AR25" t="s">
        <v>84</v>
      </c>
      <c r="AS25" t="s">
        <v>84</v>
      </c>
      <c r="AT25" t="s">
        <v>117</v>
      </c>
      <c r="AU25" t="s">
        <v>86</v>
      </c>
      <c r="AZ25">
        <v>1</v>
      </c>
      <c r="BA25">
        <v>1</v>
      </c>
      <c r="BB25" t="s">
        <v>60</v>
      </c>
      <c r="BC25" t="s">
        <v>61</v>
      </c>
      <c r="BE25" t="s">
        <v>62</v>
      </c>
      <c r="BF25">
        <v>60.065182757171002</v>
      </c>
      <c r="BG25" t="s">
        <v>63</v>
      </c>
    </row>
    <row r="26" spans="2:59" hidden="1" x14ac:dyDescent="0.35">
      <c r="B26">
        <v>9</v>
      </c>
      <c r="C26">
        <v>9</v>
      </c>
      <c r="D26">
        <v>0</v>
      </c>
      <c r="G26" t="s">
        <v>118</v>
      </c>
      <c r="H26" t="s">
        <v>119</v>
      </c>
      <c r="I26" t="s">
        <v>79</v>
      </c>
      <c r="J26" t="s">
        <v>119</v>
      </c>
      <c r="K26" t="s">
        <v>88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V26">
        <v>0</v>
      </c>
      <c r="W26">
        <v>9</v>
      </c>
      <c r="X26">
        <v>9</v>
      </c>
      <c r="Y26">
        <v>7</v>
      </c>
      <c r="Z26">
        <v>72.803461500094201</v>
      </c>
      <c r="AH26">
        <v>72.7936070000287</v>
      </c>
      <c r="AI26">
        <v>72.803461500094201</v>
      </c>
      <c r="AJ26">
        <v>72.803461500094201</v>
      </c>
      <c r="AK26">
        <v>72.803461500094201</v>
      </c>
      <c r="AL26">
        <v>4.3797000544145703E-3</v>
      </c>
      <c r="AM26">
        <v>82.789328300044801</v>
      </c>
      <c r="AN26" t="s">
        <v>119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>
        <v>82.805058400030205</v>
      </c>
      <c r="AW26">
        <v>82.805058400030205</v>
      </c>
      <c r="AX26">
        <v>82.805058400030205</v>
      </c>
      <c r="AY26">
        <v>9.9995243999874202</v>
      </c>
      <c r="AZ26">
        <v>1</v>
      </c>
      <c r="BA26">
        <v>1</v>
      </c>
      <c r="BB26" t="s">
        <v>60</v>
      </c>
      <c r="BC26" t="s">
        <v>61</v>
      </c>
      <c r="BE26" t="s">
        <v>62</v>
      </c>
      <c r="BF26">
        <v>60.065182757171002</v>
      </c>
      <c r="BG26" t="s">
        <v>63</v>
      </c>
    </row>
    <row r="27" spans="2:59" hidden="1" x14ac:dyDescent="0.35">
      <c r="B27">
        <v>10</v>
      </c>
      <c r="C27">
        <v>10</v>
      </c>
      <c r="D27">
        <v>0</v>
      </c>
      <c r="G27" t="s">
        <v>120</v>
      </c>
      <c r="H27" t="s">
        <v>71</v>
      </c>
      <c r="I27" t="s">
        <v>79</v>
      </c>
      <c r="K27" t="s">
        <v>121</v>
      </c>
      <c r="L27" t="s">
        <v>122</v>
      </c>
      <c r="M27" t="s">
        <v>83</v>
      </c>
      <c r="N27" t="s">
        <v>84</v>
      </c>
      <c r="O27" t="s">
        <v>84</v>
      </c>
      <c r="P27" t="s">
        <v>123</v>
      </c>
      <c r="Q27" t="s">
        <v>86</v>
      </c>
      <c r="V27">
        <v>0</v>
      </c>
      <c r="W27">
        <v>10</v>
      </c>
      <c r="X27">
        <v>10</v>
      </c>
      <c r="Y27">
        <v>14</v>
      </c>
      <c r="Z27">
        <v>82.805058400030205</v>
      </c>
      <c r="AH27">
        <v>82.795571500086197</v>
      </c>
      <c r="AI27">
        <v>82.805058400030205</v>
      </c>
      <c r="AJ27">
        <v>82.805058400030205</v>
      </c>
      <c r="AK27">
        <v>82.805058400030205</v>
      </c>
      <c r="AL27">
        <v>6.3554999651387299E-3</v>
      </c>
      <c r="AM27">
        <v>82.939314900082493</v>
      </c>
      <c r="AO27" t="s">
        <v>121</v>
      </c>
      <c r="AP27" t="s">
        <v>122</v>
      </c>
      <c r="AQ27" t="s">
        <v>83</v>
      </c>
      <c r="AR27" t="s">
        <v>84</v>
      </c>
      <c r="AS27" t="s">
        <v>84</v>
      </c>
      <c r="AT27" t="s">
        <v>123</v>
      </c>
      <c r="AU27" t="s">
        <v>86</v>
      </c>
      <c r="AZ27">
        <v>1</v>
      </c>
      <c r="BA27">
        <v>1</v>
      </c>
      <c r="BB27" t="s">
        <v>60</v>
      </c>
      <c r="BC27" t="s">
        <v>61</v>
      </c>
      <c r="BE27" t="s">
        <v>62</v>
      </c>
      <c r="BF27">
        <v>60.065182757171002</v>
      </c>
      <c r="BG27" t="s">
        <v>63</v>
      </c>
    </row>
    <row r="28" spans="2:59" x14ac:dyDescent="0.35">
      <c r="B28">
        <v>11</v>
      </c>
      <c r="C28">
        <v>11</v>
      </c>
      <c r="D28">
        <v>0</v>
      </c>
      <c r="G28" t="s">
        <v>124</v>
      </c>
      <c r="H28" t="s">
        <v>125</v>
      </c>
      <c r="I28" t="s">
        <v>126</v>
      </c>
      <c r="J28" t="s">
        <v>127</v>
      </c>
      <c r="K28" t="s">
        <v>121</v>
      </c>
      <c r="L28" t="s">
        <v>122</v>
      </c>
      <c r="M28" t="s">
        <v>83</v>
      </c>
      <c r="N28" t="s">
        <v>84</v>
      </c>
      <c r="O28" t="s">
        <v>84</v>
      </c>
      <c r="P28" t="s">
        <v>128</v>
      </c>
      <c r="Q28" t="s">
        <v>86</v>
      </c>
      <c r="V28">
        <v>0</v>
      </c>
      <c r="W28">
        <v>11</v>
      </c>
      <c r="X28">
        <v>11</v>
      </c>
      <c r="Y28">
        <v>18</v>
      </c>
      <c r="Z28">
        <v>82.955435900017605</v>
      </c>
      <c r="AH28">
        <v>82.943632400012504</v>
      </c>
      <c r="AI28">
        <v>82.955435900017605</v>
      </c>
      <c r="AJ28">
        <v>82.955435900017605</v>
      </c>
      <c r="AK28">
        <v>82.955435900017605</v>
      </c>
      <c r="AL28">
        <v>4.1526000713929499E-3</v>
      </c>
      <c r="AM28">
        <v>89.141589300008405</v>
      </c>
      <c r="AN28" t="s">
        <v>127</v>
      </c>
      <c r="AO28" t="s">
        <v>121</v>
      </c>
      <c r="AP28" t="s">
        <v>122</v>
      </c>
      <c r="AQ28" t="s">
        <v>83</v>
      </c>
      <c r="AR28" t="s">
        <v>84</v>
      </c>
      <c r="AS28" t="s">
        <v>84</v>
      </c>
      <c r="AT28" t="s">
        <v>128</v>
      </c>
      <c r="AU28" t="s">
        <v>86</v>
      </c>
      <c r="AZ28">
        <v>1</v>
      </c>
      <c r="BA28">
        <v>1</v>
      </c>
      <c r="BB28" t="s">
        <v>60</v>
      </c>
      <c r="BC28" t="s">
        <v>61</v>
      </c>
      <c r="BE28" t="s">
        <v>62</v>
      </c>
      <c r="BF28">
        <v>60.065182757171002</v>
      </c>
      <c r="BG28" t="s">
        <v>63</v>
      </c>
    </row>
    <row r="29" spans="2:59" hidden="1" x14ac:dyDescent="0.35">
      <c r="B29">
        <v>12</v>
      </c>
      <c r="C29">
        <v>12</v>
      </c>
      <c r="D29">
        <v>0</v>
      </c>
      <c r="G29" t="s">
        <v>129</v>
      </c>
      <c r="H29" t="s">
        <v>130</v>
      </c>
      <c r="I29" t="s">
        <v>79</v>
      </c>
      <c r="J29" t="s">
        <v>131</v>
      </c>
      <c r="K29" t="s">
        <v>88</v>
      </c>
      <c r="L29" t="s">
        <v>88</v>
      </c>
      <c r="M29" t="s">
        <v>88</v>
      </c>
      <c r="N29" t="s">
        <v>88</v>
      </c>
      <c r="O29" t="s">
        <v>88</v>
      </c>
      <c r="P29" t="s">
        <v>88</v>
      </c>
      <c r="Q29" t="s">
        <v>88</v>
      </c>
      <c r="V29">
        <v>0</v>
      </c>
      <c r="W29">
        <v>12</v>
      </c>
      <c r="X29">
        <v>12</v>
      </c>
      <c r="Y29">
        <v>13</v>
      </c>
      <c r="Z29">
        <v>89.156525400001499</v>
      </c>
      <c r="AH29">
        <v>89.147454800084205</v>
      </c>
      <c r="AI29">
        <v>89.156525400001499</v>
      </c>
      <c r="AJ29">
        <v>89.156525400001499</v>
      </c>
      <c r="AK29">
        <v>89.156525400001499</v>
      </c>
      <c r="AL29">
        <v>5.6828999659046496E-3</v>
      </c>
      <c r="AM29">
        <v>99.141862699994803</v>
      </c>
      <c r="AN29" t="s">
        <v>131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>
        <v>99.157902200007797</v>
      </c>
      <c r="AW29">
        <v>99.157902200007797</v>
      </c>
      <c r="AX29">
        <v>99.157902200007797</v>
      </c>
      <c r="AY29">
        <v>9.9996282999636605</v>
      </c>
      <c r="AZ29">
        <v>1</v>
      </c>
      <c r="BA29">
        <v>1</v>
      </c>
      <c r="BB29" t="s">
        <v>60</v>
      </c>
      <c r="BC29" t="s">
        <v>61</v>
      </c>
      <c r="BE29" t="s">
        <v>62</v>
      </c>
      <c r="BF29">
        <v>60.065182757171002</v>
      </c>
      <c r="BG29" t="s">
        <v>63</v>
      </c>
    </row>
    <row r="30" spans="2:59" ht="29" x14ac:dyDescent="0.35">
      <c r="B30">
        <v>13</v>
      </c>
      <c r="C30">
        <v>13</v>
      </c>
      <c r="D30">
        <v>0</v>
      </c>
      <c r="G30" t="s">
        <v>132</v>
      </c>
      <c r="H30" t="s">
        <v>133</v>
      </c>
      <c r="I30" t="s">
        <v>126</v>
      </c>
      <c r="J30" s="1" t="s">
        <v>134</v>
      </c>
      <c r="K30" t="s">
        <v>135</v>
      </c>
      <c r="L30" t="s">
        <v>136</v>
      </c>
      <c r="M30" t="s">
        <v>83</v>
      </c>
      <c r="N30" t="s">
        <v>84</v>
      </c>
      <c r="O30" t="s">
        <v>84</v>
      </c>
      <c r="P30" t="s">
        <v>137</v>
      </c>
      <c r="Q30" t="s">
        <v>86</v>
      </c>
      <c r="V30">
        <v>0</v>
      </c>
      <c r="W30">
        <v>13</v>
      </c>
      <c r="X30">
        <v>13</v>
      </c>
      <c r="Y30">
        <v>17</v>
      </c>
      <c r="Z30">
        <v>99.157902200007797</v>
      </c>
      <c r="AH30">
        <v>99.145882999990107</v>
      </c>
      <c r="AI30">
        <v>99.157902200007797</v>
      </c>
      <c r="AJ30">
        <v>99.157902200007797</v>
      </c>
      <c r="AK30">
        <v>99.157902200007797</v>
      </c>
      <c r="AL30">
        <v>4.0923999622464102E-3</v>
      </c>
      <c r="AM30">
        <v>103.261110700084</v>
      </c>
      <c r="AN30" s="1" t="s">
        <v>134</v>
      </c>
      <c r="AO30" t="s">
        <v>135</v>
      </c>
      <c r="AP30" t="s">
        <v>136</v>
      </c>
      <c r="AQ30" t="s">
        <v>83</v>
      </c>
      <c r="AR30" t="s">
        <v>84</v>
      </c>
      <c r="AS30" t="s">
        <v>84</v>
      </c>
      <c r="AT30" t="s">
        <v>137</v>
      </c>
      <c r="AU30" t="s">
        <v>86</v>
      </c>
      <c r="AZ30">
        <v>1</v>
      </c>
      <c r="BA30">
        <v>1</v>
      </c>
      <c r="BB30" t="s">
        <v>60</v>
      </c>
      <c r="BC30" t="s">
        <v>61</v>
      </c>
      <c r="BE30" t="s">
        <v>62</v>
      </c>
      <c r="BF30">
        <v>60.065182757171002</v>
      </c>
      <c r="BG30" t="s">
        <v>63</v>
      </c>
    </row>
    <row r="31" spans="2:59" hidden="1" x14ac:dyDescent="0.35">
      <c r="B31">
        <v>14</v>
      </c>
      <c r="C31">
        <v>14</v>
      </c>
      <c r="D31">
        <v>0</v>
      </c>
      <c r="G31" t="s">
        <v>138</v>
      </c>
      <c r="H31" t="s">
        <v>139</v>
      </c>
      <c r="I31" t="s">
        <v>79</v>
      </c>
      <c r="J31" t="s">
        <v>139</v>
      </c>
      <c r="K31" t="s">
        <v>140</v>
      </c>
      <c r="L31" t="s">
        <v>141</v>
      </c>
      <c r="M31" t="s">
        <v>83</v>
      </c>
      <c r="N31" t="s">
        <v>84</v>
      </c>
      <c r="O31" t="s">
        <v>84</v>
      </c>
      <c r="P31" t="s">
        <v>142</v>
      </c>
      <c r="Q31" t="s">
        <v>86</v>
      </c>
      <c r="V31">
        <v>0</v>
      </c>
      <c r="W31">
        <v>14</v>
      </c>
      <c r="X31">
        <v>14</v>
      </c>
      <c r="Y31">
        <v>6</v>
      </c>
      <c r="Z31">
        <v>103.275026899995</v>
      </c>
      <c r="AH31">
        <v>103.266090700053</v>
      </c>
      <c r="AI31">
        <v>103.275026899995</v>
      </c>
      <c r="AJ31">
        <v>103.275026899995</v>
      </c>
      <c r="AK31">
        <v>103.275026899995</v>
      </c>
      <c r="AL31">
        <v>4.7964999685063897E-3</v>
      </c>
      <c r="AM31">
        <v>107.27698710001999</v>
      </c>
      <c r="AN31" t="s">
        <v>139</v>
      </c>
      <c r="AO31" t="s">
        <v>140</v>
      </c>
      <c r="AP31" t="s">
        <v>141</v>
      </c>
      <c r="AQ31" t="s">
        <v>83</v>
      </c>
      <c r="AR31" t="s">
        <v>84</v>
      </c>
      <c r="AS31" t="s">
        <v>84</v>
      </c>
      <c r="AT31" t="s">
        <v>142</v>
      </c>
      <c r="AU31" t="s">
        <v>86</v>
      </c>
      <c r="AZ31">
        <v>1</v>
      </c>
      <c r="BA31">
        <v>1</v>
      </c>
      <c r="BB31" t="s">
        <v>60</v>
      </c>
      <c r="BC31" t="s">
        <v>61</v>
      </c>
      <c r="BE31" t="s">
        <v>62</v>
      </c>
      <c r="BF31">
        <v>60.065182757171002</v>
      </c>
      <c r="BG31" t="s">
        <v>63</v>
      </c>
    </row>
    <row r="32" spans="2:59" ht="29" hidden="1" x14ac:dyDescent="0.35">
      <c r="B32">
        <v>15</v>
      </c>
      <c r="C32">
        <v>15</v>
      </c>
      <c r="D32">
        <v>0</v>
      </c>
      <c r="G32" t="s">
        <v>143</v>
      </c>
      <c r="H32" t="s">
        <v>76</v>
      </c>
      <c r="I32" t="s">
        <v>79</v>
      </c>
      <c r="J32" s="1" t="s">
        <v>144</v>
      </c>
      <c r="K32" t="s">
        <v>145</v>
      </c>
      <c r="L32" t="s">
        <v>146</v>
      </c>
      <c r="M32" t="s">
        <v>83</v>
      </c>
      <c r="N32" t="s">
        <v>84</v>
      </c>
      <c r="O32" t="s">
        <v>84</v>
      </c>
      <c r="P32" t="s">
        <v>147</v>
      </c>
      <c r="Q32" t="s">
        <v>86</v>
      </c>
      <c r="V32">
        <v>0</v>
      </c>
      <c r="W32">
        <v>15</v>
      </c>
      <c r="X32">
        <v>15</v>
      </c>
      <c r="Y32">
        <v>1</v>
      </c>
      <c r="Z32">
        <v>107.292596300016</v>
      </c>
      <c r="AH32">
        <v>107.281130000017</v>
      </c>
      <c r="AI32">
        <v>107.292596300016</v>
      </c>
      <c r="AJ32">
        <v>107.292596300016</v>
      </c>
      <c r="AK32">
        <v>107.292596300016</v>
      </c>
      <c r="AL32">
        <v>3.9919000118970802E-3</v>
      </c>
      <c r="AM32">
        <v>113.895096400054</v>
      </c>
      <c r="AN32" s="1" t="s">
        <v>144</v>
      </c>
      <c r="AO32" t="s">
        <v>145</v>
      </c>
      <c r="AP32" t="s">
        <v>146</v>
      </c>
      <c r="AQ32" t="s">
        <v>83</v>
      </c>
      <c r="AR32" t="s">
        <v>84</v>
      </c>
      <c r="AS32" t="s">
        <v>84</v>
      </c>
      <c r="AT32" t="s">
        <v>147</v>
      </c>
      <c r="AU32" t="s">
        <v>86</v>
      </c>
      <c r="AZ32">
        <v>1</v>
      </c>
      <c r="BA32">
        <v>1</v>
      </c>
      <c r="BB32" t="s">
        <v>60</v>
      </c>
      <c r="BC32" t="s">
        <v>61</v>
      </c>
      <c r="BE32" t="s">
        <v>62</v>
      </c>
      <c r="BF32">
        <v>60.065182757171002</v>
      </c>
      <c r="BG32" t="s">
        <v>63</v>
      </c>
    </row>
    <row r="33" spans="2:59" x14ac:dyDescent="0.35">
      <c r="B33">
        <v>16</v>
      </c>
      <c r="C33">
        <v>16</v>
      </c>
      <c r="D33">
        <v>0</v>
      </c>
      <c r="G33" t="s">
        <v>148</v>
      </c>
      <c r="H33" t="s">
        <v>149</v>
      </c>
      <c r="I33" t="s">
        <v>126</v>
      </c>
      <c r="J33" t="s">
        <v>149</v>
      </c>
      <c r="K33" t="s">
        <v>150</v>
      </c>
      <c r="L33" t="s">
        <v>151</v>
      </c>
      <c r="M33" t="s">
        <v>83</v>
      </c>
      <c r="N33" t="s">
        <v>84</v>
      </c>
      <c r="O33" t="s">
        <v>84</v>
      </c>
      <c r="P33" t="s">
        <v>152</v>
      </c>
      <c r="Q33" t="s">
        <v>86</v>
      </c>
      <c r="V33">
        <v>0</v>
      </c>
      <c r="W33">
        <v>16</v>
      </c>
      <c r="X33">
        <v>16</v>
      </c>
      <c r="Y33">
        <v>19</v>
      </c>
      <c r="Z33">
        <v>113.9107734001</v>
      </c>
      <c r="AH33">
        <v>113.898769000079</v>
      </c>
      <c r="AI33">
        <v>113.9107734001</v>
      </c>
      <c r="AJ33">
        <v>113.9107734001</v>
      </c>
      <c r="AK33">
        <v>113.9107734001</v>
      </c>
      <c r="AL33">
        <v>3.5390999400988199E-3</v>
      </c>
      <c r="AM33">
        <v>117.21242510003501</v>
      </c>
      <c r="AN33" t="s">
        <v>149</v>
      </c>
      <c r="AO33" t="s">
        <v>150</v>
      </c>
      <c r="AP33" t="s">
        <v>151</v>
      </c>
      <c r="AQ33" t="s">
        <v>83</v>
      </c>
      <c r="AR33" t="s">
        <v>84</v>
      </c>
      <c r="AS33" t="s">
        <v>84</v>
      </c>
      <c r="AT33" t="s">
        <v>152</v>
      </c>
      <c r="AU33" t="s">
        <v>86</v>
      </c>
      <c r="AZ33">
        <v>1</v>
      </c>
      <c r="BA33">
        <v>1</v>
      </c>
      <c r="BB33" t="s">
        <v>60</v>
      </c>
      <c r="BC33" t="s">
        <v>61</v>
      </c>
      <c r="BE33" t="s">
        <v>62</v>
      </c>
      <c r="BF33">
        <v>60.065182757171002</v>
      </c>
      <c r="BG33" t="s">
        <v>63</v>
      </c>
    </row>
    <row r="34" spans="2:59" hidden="1" x14ac:dyDescent="0.35">
      <c r="B34">
        <v>17</v>
      </c>
      <c r="C34">
        <v>17</v>
      </c>
      <c r="D34">
        <v>0</v>
      </c>
      <c r="G34" t="s">
        <v>153</v>
      </c>
      <c r="H34" t="s">
        <v>73</v>
      </c>
      <c r="I34" t="s">
        <v>79</v>
      </c>
      <c r="J34" t="s">
        <v>73</v>
      </c>
      <c r="K34" t="s">
        <v>154</v>
      </c>
      <c r="L34" t="s">
        <v>155</v>
      </c>
      <c r="M34" t="s">
        <v>83</v>
      </c>
      <c r="N34" t="s">
        <v>84</v>
      </c>
      <c r="O34" t="s">
        <v>84</v>
      </c>
      <c r="P34" t="s">
        <v>156</v>
      </c>
      <c r="Q34" t="s">
        <v>86</v>
      </c>
      <c r="V34">
        <v>0</v>
      </c>
      <c r="W34">
        <v>17</v>
      </c>
      <c r="X34">
        <v>17</v>
      </c>
      <c r="Y34">
        <v>8</v>
      </c>
      <c r="Z34">
        <v>117.22762980009399</v>
      </c>
      <c r="AH34">
        <v>117.216608999995</v>
      </c>
      <c r="AI34">
        <v>117.22762980009399</v>
      </c>
      <c r="AJ34">
        <v>117.22762980009399</v>
      </c>
      <c r="AK34">
        <v>117.22762980009399</v>
      </c>
      <c r="AL34">
        <v>4.0144999511539901E-3</v>
      </c>
      <c r="AM34">
        <v>120.881878499989</v>
      </c>
      <c r="AN34" t="s">
        <v>73</v>
      </c>
      <c r="AO34" t="s">
        <v>154</v>
      </c>
      <c r="AP34" t="s">
        <v>155</v>
      </c>
      <c r="AQ34" t="s">
        <v>83</v>
      </c>
      <c r="AR34" t="s">
        <v>84</v>
      </c>
      <c r="AS34" t="s">
        <v>84</v>
      </c>
      <c r="AT34" t="s">
        <v>156</v>
      </c>
      <c r="AU34" t="s">
        <v>86</v>
      </c>
      <c r="AZ34">
        <v>1</v>
      </c>
      <c r="BA34">
        <v>1</v>
      </c>
      <c r="BB34" t="s">
        <v>60</v>
      </c>
      <c r="BC34" t="s">
        <v>61</v>
      </c>
      <c r="BE34" t="s">
        <v>62</v>
      </c>
      <c r="BF34">
        <v>60.065182757171002</v>
      </c>
      <c r="BG34" t="s">
        <v>63</v>
      </c>
    </row>
    <row r="35" spans="2:59" x14ac:dyDescent="0.35">
      <c r="B35">
        <v>18</v>
      </c>
      <c r="C35">
        <v>18</v>
      </c>
      <c r="D35">
        <v>0</v>
      </c>
      <c r="G35" t="s">
        <v>157</v>
      </c>
      <c r="H35" t="s">
        <v>158</v>
      </c>
      <c r="I35" t="s">
        <v>126</v>
      </c>
      <c r="J35" t="s">
        <v>158</v>
      </c>
      <c r="K35" t="s">
        <v>154</v>
      </c>
      <c r="L35" t="s">
        <v>155</v>
      </c>
      <c r="M35" t="s">
        <v>83</v>
      </c>
      <c r="N35" t="s">
        <v>84</v>
      </c>
      <c r="O35" t="s">
        <v>84</v>
      </c>
      <c r="P35" t="s">
        <v>159</v>
      </c>
      <c r="Q35" t="s">
        <v>86</v>
      </c>
      <c r="V35">
        <v>0</v>
      </c>
      <c r="W35">
        <v>18</v>
      </c>
      <c r="X35">
        <v>18</v>
      </c>
      <c r="Y35">
        <v>16</v>
      </c>
      <c r="Z35">
        <v>120.89554410008699</v>
      </c>
      <c r="AH35">
        <v>120.88704240007699</v>
      </c>
      <c r="AI35">
        <v>120.89554410008699</v>
      </c>
      <c r="AJ35">
        <v>120.89554410008699</v>
      </c>
      <c r="AK35">
        <v>120.89554410008699</v>
      </c>
      <c r="AL35">
        <v>4.7863000072538801E-3</v>
      </c>
      <c r="AM35">
        <v>124.38056120008601</v>
      </c>
      <c r="AN35" t="s">
        <v>158</v>
      </c>
      <c r="AO35" t="s">
        <v>154</v>
      </c>
      <c r="AP35" t="s">
        <v>155</v>
      </c>
      <c r="AQ35" t="s">
        <v>83</v>
      </c>
      <c r="AR35" t="s">
        <v>84</v>
      </c>
      <c r="AS35" t="s">
        <v>84</v>
      </c>
      <c r="AT35" t="s">
        <v>159</v>
      </c>
      <c r="AU35" t="s">
        <v>86</v>
      </c>
      <c r="AZ35">
        <v>1</v>
      </c>
      <c r="BA35">
        <v>1</v>
      </c>
      <c r="BB35" t="s">
        <v>60</v>
      </c>
      <c r="BC35" t="s">
        <v>61</v>
      </c>
      <c r="BE35" t="s">
        <v>62</v>
      </c>
      <c r="BF35">
        <v>60.065182757171002</v>
      </c>
      <c r="BG35" t="s">
        <v>63</v>
      </c>
    </row>
    <row r="36" spans="2:59" x14ac:dyDescent="0.35">
      <c r="B36">
        <v>19</v>
      </c>
      <c r="C36">
        <v>19</v>
      </c>
      <c r="D36">
        <v>0</v>
      </c>
      <c r="G36" t="s">
        <v>160</v>
      </c>
      <c r="H36" t="s">
        <v>161</v>
      </c>
      <c r="I36" t="s">
        <v>126</v>
      </c>
      <c r="J36" t="s">
        <v>161</v>
      </c>
      <c r="K36" t="s">
        <v>154</v>
      </c>
      <c r="L36" t="s">
        <v>155</v>
      </c>
      <c r="M36" t="s">
        <v>83</v>
      </c>
      <c r="N36" t="s">
        <v>84</v>
      </c>
      <c r="O36" t="s">
        <v>84</v>
      </c>
      <c r="P36" t="s">
        <v>162</v>
      </c>
      <c r="Q36" t="s">
        <v>86</v>
      </c>
      <c r="V36">
        <v>0</v>
      </c>
      <c r="W36">
        <v>19</v>
      </c>
      <c r="X36">
        <v>19</v>
      </c>
      <c r="Y36">
        <v>15</v>
      </c>
      <c r="Z36">
        <v>124.39576570002799</v>
      </c>
      <c r="AH36">
        <v>124.386137300054</v>
      </c>
      <c r="AI36">
        <v>124.39576570002799</v>
      </c>
      <c r="AJ36">
        <v>124.39576570002799</v>
      </c>
      <c r="AK36">
        <v>124.39576570002799</v>
      </c>
      <c r="AL36">
        <v>5.3529000142589203E-3</v>
      </c>
      <c r="AM36">
        <v>128.91634590004099</v>
      </c>
      <c r="AN36" t="s">
        <v>161</v>
      </c>
      <c r="AO36" t="s">
        <v>154</v>
      </c>
      <c r="AP36" t="s">
        <v>155</v>
      </c>
      <c r="AQ36" t="s">
        <v>83</v>
      </c>
      <c r="AR36" t="s">
        <v>84</v>
      </c>
      <c r="AS36" t="s">
        <v>84</v>
      </c>
      <c r="AT36" t="s">
        <v>162</v>
      </c>
      <c r="AU36" t="s">
        <v>86</v>
      </c>
      <c r="AZ36">
        <v>1</v>
      </c>
      <c r="BA36">
        <v>1</v>
      </c>
      <c r="BB36" t="s">
        <v>60</v>
      </c>
      <c r="BC36" t="s">
        <v>61</v>
      </c>
      <c r="BE36" t="s">
        <v>62</v>
      </c>
      <c r="BF36">
        <v>60.065182757171002</v>
      </c>
      <c r="BG36" t="s">
        <v>63</v>
      </c>
    </row>
    <row r="38" spans="2:59" x14ac:dyDescent="0.35">
      <c r="I38" t="s">
        <v>163</v>
      </c>
      <c r="J38">
        <f>(11/15)</f>
        <v>0.73333333333333328</v>
      </c>
    </row>
    <row r="39" spans="2:59" x14ac:dyDescent="0.35">
      <c r="I39" t="s">
        <v>164</v>
      </c>
      <c r="J39">
        <f>(3/5)</f>
        <v>0.6</v>
      </c>
    </row>
    <row r="40" spans="2:59" x14ac:dyDescent="0.35">
      <c r="I40" t="s">
        <v>165</v>
      </c>
      <c r="J40">
        <f>(J38-J39)</f>
        <v>0.1333333333333333</v>
      </c>
    </row>
  </sheetData>
  <autoFilter ref="A1:BG36" xr:uid="{4C78E25A-9A9C-493E-8F30-009888243BDC}">
    <filterColumn colId="8">
      <filters>
        <filter val="ne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2025-10-14T08:57:42Z</dcterms:created>
  <dcterms:modified xsi:type="dcterms:W3CDTF">2025-10-14T09:06:52Z</dcterms:modified>
</cp:coreProperties>
</file>