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8_{A9D6A880-AC16-454E-BC0B-1E0F5BDC6DDA}" xr6:coauthVersionLast="47" xr6:coauthVersionMax="47" xr10:uidLastSave="{00000000-0000-0000-0000-000000000000}"/>
  <bookViews>
    <workbookView xWindow="-110" yWindow="-110" windowWidth="19420" windowHeight="11500" activeTab="3" xr2:uid="{26B73FEE-F32F-4500-818D-018087C2C022}"/>
  </bookViews>
  <sheets>
    <sheet name="006_solo_project_2025-11-20_22h" sheetId="1" r:id="rId1"/>
    <sheet name="Sheet1" sheetId="2" r:id="rId2"/>
    <sheet name="lose frame" sheetId="4" r:id="rId3"/>
    <sheet name="gain frame" sheetId="3" r:id="rId4"/>
  </sheets>
  <definedNames>
    <definedName name="_xlnm._FilterDatabase" localSheetId="3" hidden="1">'gain frame'!$E$1:$E$1048526</definedName>
    <definedName name="_xlnm._FilterDatabase" localSheetId="2" hidden="1">'lose frame'!$E$1:$E$51</definedName>
    <definedName name="_xlnm._FilterDatabase" localSheetId="1" hidden="1">Sheet1!$A$1:$E$101</definedName>
  </definedNames>
  <calcPr calcId="0"/>
</workbook>
</file>

<file path=xl/calcChain.xml><?xml version="1.0" encoding="utf-8"?>
<calcChain xmlns="http://schemas.openxmlformats.org/spreadsheetml/2006/main">
  <c r="H2" i="3" l="1"/>
  <c r="H2" i="4"/>
  <c r="G29" i="3"/>
  <c r="G19" i="3"/>
  <c r="G11" i="3"/>
  <c r="G8" i="3"/>
  <c r="G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" i="3"/>
  <c r="G38" i="4"/>
  <c r="G10" i="4"/>
  <c r="G21" i="4"/>
  <c r="G27" i="4"/>
  <c r="G3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F3" i="4"/>
  <c r="F4" i="4"/>
  <c r="F5" i="4"/>
  <c r="F12" i="4"/>
  <c r="F13" i="4"/>
  <c r="F14" i="4"/>
  <c r="F15" i="4"/>
  <c r="F16" i="4"/>
  <c r="F17" i="4"/>
  <c r="F18" i="4"/>
  <c r="F19" i="4"/>
  <c r="F20" i="4"/>
  <c r="F8" i="4"/>
  <c r="F9" i="4"/>
  <c r="F22" i="4"/>
  <c r="F21" i="4"/>
  <c r="F11" i="4"/>
  <c r="F10" i="4"/>
  <c r="F6" i="4"/>
  <c r="G6" i="4" s="1"/>
  <c r="F7" i="4"/>
</calcChain>
</file>

<file path=xl/sharedStrings.xml><?xml version="1.0" encoding="utf-8"?>
<sst xmlns="http://schemas.openxmlformats.org/spreadsheetml/2006/main" count="1354" uniqueCount="45">
  <si>
    <t>frame_type</t>
  </si>
  <si>
    <t>immediate_amount</t>
  </si>
  <si>
    <t>delayed_amount</t>
  </si>
  <si>
    <t>delay_days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</si>
  <si>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</si>
  <si>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</si>
  <si>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</si>
  <si>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</si>
  <si>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</si>
  <si>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</si>
  <si>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</si>
  <si>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</si>
  <si>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</si>
  <si>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</si>
  <si>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</si>
  <si>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</si>
  <si>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</si>
  <si>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</si>
  <si>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</si>
  <si>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</si>
  <si>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</si>
  <si>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</si>
  <si>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</si>
  <si>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</si>
  <si>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</si>
  <si>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</si>
  <si>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</si>
  <si>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</si>
  <si>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</si>
  <si>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</si>
  <si>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</si>
  <si>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</si>
  <si>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</si>
  <si>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lose</t>
  </si>
  <si>
    <t>l</t>
  </si>
  <si>
    <t>None</t>
  </si>
  <si>
    <t>2025-11-20_22h52.31.927</t>
  </si>
  <si>
    <t>solo_project</t>
  </si>
  <si>
    <t>2025.1.1</t>
  </si>
  <si>
    <t>2025-11-20 22h52.37.256553 +0530</t>
  </si>
  <si>
    <t>gain</t>
  </si>
  <si>
    <t>t</t>
  </si>
  <si>
    <t>k</t>
  </si>
  <si>
    <t>geomean</t>
  </si>
  <si>
    <t>mean of all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</si>
</sst>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5B2F-876F-481B-B94B-2AB793090676}">
  <dimension ref="A1:AG101"/>
  <sheetViews>
    <sheetView workbookViewId="0">
      <selection activeCell="H1" sqref="H1:H1048576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6000</v>
      </c>
      <c r="C2">
        <v>11000</v>
      </c>
      <c r="D2">
        <v>65</v>
      </c>
      <c r="E2">
        <v>0</v>
      </c>
      <c r="F2">
        <v>0</v>
      </c>
      <c r="G2">
        <v>0</v>
      </c>
      <c r="H2" t="s">
        <v>34</v>
      </c>
      <c r="I2">
        <v>1.8364506000070799</v>
      </c>
      <c r="J2" t="s">
        <v>35</v>
      </c>
      <c r="K2">
        <v>0</v>
      </c>
      <c r="L2">
        <v>0</v>
      </c>
      <c r="M2">
        <v>0</v>
      </c>
      <c r="N2">
        <v>7</v>
      </c>
      <c r="O2">
        <v>4.7662800003308803E-2</v>
      </c>
      <c r="Q2">
        <v>4.43701999902259E-2</v>
      </c>
      <c r="R2">
        <v>4.7662800003308803E-2</v>
      </c>
      <c r="S2">
        <v>1.0028728999895899</v>
      </c>
      <c r="T2">
        <v>1.0028728999895899</v>
      </c>
      <c r="U2">
        <v>1.0528277999837801</v>
      </c>
      <c r="V2">
        <v>2.8604931999871002</v>
      </c>
      <c r="W2" t="s">
        <v>34</v>
      </c>
      <c r="X2">
        <v>1.8364506000070799</v>
      </c>
      <c r="Y2" t="s">
        <v>35</v>
      </c>
      <c r="Z2">
        <v>6</v>
      </c>
      <c r="AA2">
        <v>1</v>
      </c>
      <c r="AB2" t="s">
        <v>36</v>
      </c>
      <c r="AC2" t="s">
        <v>37</v>
      </c>
      <c r="AE2" t="s">
        <v>38</v>
      </c>
      <c r="AF2">
        <v>59.781188893065199</v>
      </c>
      <c r="AG2" t="s">
        <v>39</v>
      </c>
    </row>
    <row r="3" spans="1:33" x14ac:dyDescent="0.35">
      <c r="A3" t="s">
        <v>40</v>
      </c>
      <c r="B3">
        <v>2000</v>
      </c>
      <c r="C3">
        <v>3500</v>
      </c>
      <c r="D3">
        <v>25</v>
      </c>
      <c r="E3">
        <v>1</v>
      </c>
      <c r="F3">
        <v>1</v>
      </c>
      <c r="G3">
        <v>0</v>
      </c>
      <c r="H3" t="s">
        <v>41</v>
      </c>
      <c r="I3">
        <v>3.7792436000017902</v>
      </c>
      <c r="J3" t="s">
        <v>35</v>
      </c>
      <c r="K3">
        <v>0</v>
      </c>
      <c r="L3">
        <v>1</v>
      </c>
      <c r="M3">
        <v>1</v>
      </c>
      <c r="N3">
        <v>4</v>
      </c>
      <c r="O3">
        <v>2.8707398999831599</v>
      </c>
      <c r="Q3">
        <v>2.8682797999936098</v>
      </c>
      <c r="R3">
        <v>2.8707398999831599</v>
      </c>
      <c r="S3">
        <v>3.8704641000076601</v>
      </c>
      <c r="T3">
        <v>3.8704641000076601</v>
      </c>
      <c r="U3">
        <v>3.8704641000076601</v>
      </c>
      <c r="V3">
        <v>7.6551845000067198</v>
      </c>
      <c r="W3" t="s">
        <v>41</v>
      </c>
      <c r="X3">
        <v>3.7792436000017902</v>
      </c>
      <c r="Y3" t="s">
        <v>35</v>
      </c>
      <c r="Z3">
        <v>6</v>
      </c>
      <c r="AA3">
        <v>1</v>
      </c>
      <c r="AB3" t="s">
        <v>36</v>
      </c>
      <c r="AC3" t="s">
        <v>37</v>
      </c>
      <c r="AE3" t="s">
        <v>38</v>
      </c>
      <c r="AF3">
        <v>59.781188893065199</v>
      </c>
      <c r="AG3" t="s">
        <v>39</v>
      </c>
    </row>
    <row r="4" spans="1:33" x14ac:dyDescent="0.35">
      <c r="A4" t="s">
        <v>33</v>
      </c>
      <c r="B4">
        <v>3500</v>
      </c>
      <c r="C4">
        <v>7000</v>
      </c>
      <c r="D4">
        <v>30</v>
      </c>
      <c r="E4">
        <v>2</v>
      </c>
      <c r="F4">
        <v>2</v>
      </c>
      <c r="G4">
        <v>0</v>
      </c>
      <c r="H4" t="s">
        <v>34</v>
      </c>
      <c r="I4">
        <v>3.32919670001138</v>
      </c>
      <c r="J4" t="s">
        <v>35</v>
      </c>
      <c r="K4">
        <v>0</v>
      </c>
      <c r="L4">
        <v>2</v>
      </c>
      <c r="M4">
        <v>2</v>
      </c>
      <c r="N4">
        <v>3</v>
      </c>
      <c r="O4">
        <v>7.6707473999995202</v>
      </c>
      <c r="Q4">
        <v>7.6627173000015301</v>
      </c>
      <c r="R4">
        <v>7.6707473999995202</v>
      </c>
      <c r="S4">
        <v>8.6543698000023106</v>
      </c>
      <c r="T4">
        <v>8.6543698000023106</v>
      </c>
      <c r="U4">
        <v>8.6710763000009994</v>
      </c>
      <c r="V4">
        <v>11.9896820999856</v>
      </c>
      <c r="W4" t="s">
        <v>34</v>
      </c>
      <c r="X4">
        <v>3.32919670001138</v>
      </c>
      <c r="Y4" t="s">
        <v>35</v>
      </c>
      <c r="Z4">
        <v>6</v>
      </c>
      <c r="AA4">
        <v>1</v>
      </c>
      <c r="AB4" t="s">
        <v>36</v>
      </c>
      <c r="AC4" t="s">
        <v>37</v>
      </c>
      <c r="AE4" t="s">
        <v>38</v>
      </c>
      <c r="AF4">
        <v>59.781188893065199</v>
      </c>
      <c r="AG4" t="s">
        <v>39</v>
      </c>
    </row>
    <row r="5" spans="1:33" x14ac:dyDescent="0.35">
      <c r="A5" t="s">
        <v>40</v>
      </c>
      <c r="B5">
        <v>4700</v>
      </c>
      <c r="C5">
        <v>10000</v>
      </c>
      <c r="D5">
        <v>28</v>
      </c>
      <c r="E5">
        <v>3</v>
      </c>
      <c r="F5">
        <v>3</v>
      </c>
      <c r="G5">
        <v>0</v>
      </c>
      <c r="H5" t="s">
        <v>34</v>
      </c>
      <c r="I5">
        <v>5.5497087000112497</v>
      </c>
      <c r="J5" t="s">
        <v>35</v>
      </c>
      <c r="K5">
        <v>0</v>
      </c>
      <c r="L5">
        <v>3</v>
      </c>
      <c r="M5">
        <v>3</v>
      </c>
      <c r="N5">
        <v>1</v>
      </c>
      <c r="O5">
        <v>12.004586199996901</v>
      </c>
      <c r="Q5">
        <v>11.9998256000108</v>
      </c>
      <c r="R5">
        <v>12.004586199996901</v>
      </c>
      <c r="S5">
        <v>13.005234299984201</v>
      </c>
      <c r="T5">
        <v>13.005234299984201</v>
      </c>
      <c r="U5">
        <v>13.005234299984201</v>
      </c>
      <c r="V5">
        <v>18.556616899993902</v>
      </c>
      <c r="W5" t="s">
        <v>34</v>
      </c>
      <c r="X5">
        <v>5.5497087000112497</v>
      </c>
      <c r="Y5" t="s">
        <v>35</v>
      </c>
      <c r="Z5">
        <v>6</v>
      </c>
      <c r="AA5">
        <v>1</v>
      </c>
      <c r="AB5" t="s">
        <v>36</v>
      </c>
      <c r="AC5" t="s">
        <v>37</v>
      </c>
      <c r="AE5" t="s">
        <v>38</v>
      </c>
      <c r="AF5">
        <v>59.781188893065199</v>
      </c>
      <c r="AG5" t="s">
        <v>39</v>
      </c>
    </row>
    <row r="6" spans="1:33" x14ac:dyDescent="0.35">
      <c r="A6" t="s">
        <v>40</v>
      </c>
      <c r="B6">
        <v>5000</v>
      </c>
      <c r="C6">
        <v>6500</v>
      </c>
      <c r="D6">
        <v>30</v>
      </c>
      <c r="E6">
        <v>4</v>
      </c>
      <c r="F6">
        <v>4</v>
      </c>
      <c r="G6">
        <v>0</v>
      </c>
      <c r="H6" t="s">
        <v>41</v>
      </c>
      <c r="I6">
        <v>1.68736579999676</v>
      </c>
      <c r="J6" t="s">
        <v>35</v>
      </c>
      <c r="K6">
        <v>0</v>
      </c>
      <c r="L6">
        <v>4</v>
      </c>
      <c r="M6">
        <v>4</v>
      </c>
      <c r="N6">
        <v>0</v>
      </c>
      <c r="O6">
        <v>18.5730449999973</v>
      </c>
      <c r="Q6">
        <v>18.561821199982599</v>
      </c>
      <c r="R6">
        <v>18.5730449999973</v>
      </c>
      <c r="S6">
        <v>19.5564106999954</v>
      </c>
      <c r="T6">
        <v>19.5564106999954</v>
      </c>
      <c r="U6">
        <v>19.573148499999601</v>
      </c>
      <c r="V6">
        <v>21.257957399997299</v>
      </c>
      <c r="W6" t="s">
        <v>41</v>
      </c>
      <c r="X6">
        <v>1.68736579999676</v>
      </c>
      <c r="Y6" t="s">
        <v>35</v>
      </c>
      <c r="Z6">
        <v>6</v>
      </c>
      <c r="AA6">
        <v>1</v>
      </c>
      <c r="AB6" t="s">
        <v>36</v>
      </c>
      <c r="AC6" t="s">
        <v>37</v>
      </c>
      <c r="AE6" t="s">
        <v>38</v>
      </c>
      <c r="AF6">
        <v>59.781188893065199</v>
      </c>
      <c r="AG6" t="s">
        <v>39</v>
      </c>
    </row>
    <row r="7" spans="1:33" x14ac:dyDescent="0.35">
      <c r="A7" t="s">
        <v>40</v>
      </c>
      <c r="B7">
        <v>6700</v>
      </c>
      <c r="C7">
        <v>11000</v>
      </c>
      <c r="D7">
        <v>50</v>
      </c>
      <c r="E7">
        <v>5</v>
      </c>
      <c r="F7">
        <v>5</v>
      </c>
      <c r="G7">
        <v>0</v>
      </c>
      <c r="H7" t="s">
        <v>41</v>
      </c>
      <c r="I7">
        <v>0.54807260000961799</v>
      </c>
      <c r="J7" t="s">
        <v>35</v>
      </c>
      <c r="K7">
        <v>0</v>
      </c>
      <c r="L7">
        <v>5</v>
      </c>
      <c r="M7">
        <v>5</v>
      </c>
      <c r="N7">
        <v>5</v>
      </c>
      <c r="O7">
        <v>21.2731972000037</v>
      </c>
      <c r="Q7">
        <v>21.2648515999899</v>
      </c>
      <c r="R7">
        <v>21.2731972000037</v>
      </c>
      <c r="S7">
        <v>22.256686599983301</v>
      </c>
      <c r="T7">
        <v>22.256686599983301</v>
      </c>
      <c r="U7">
        <v>22.273572400008501</v>
      </c>
      <c r="V7">
        <v>22.807851899997299</v>
      </c>
      <c r="W7" t="s">
        <v>41</v>
      </c>
      <c r="X7">
        <v>0.54807260000961799</v>
      </c>
      <c r="Y7" t="s">
        <v>35</v>
      </c>
      <c r="Z7">
        <v>6</v>
      </c>
      <c r="AA7">
        <v>1</v>
      </c>
      <c r="AB7" t="s">
        <v>36</v>
      </c>
      <c r="AC7" t="s">
        <v>37</v>
      </c>
      <c r="AE7" t="s">
        <v>38</v>
      </c>
      <c r="AF7">
        <v>59.781188893065199</v>
      </c>
      <c r="AG7" t="s">
        <v>39</v>
      </c>
    </row>
    <row r="8" spans="1:33" x14ac:dyDescent="0.35">
      <c r="A8" t="s">
        <v>33</v>
      </c>
      <c r="B8">
        <v>3500</v>
      </c>
      <c r="C8">
        <v>5000</v>
      </c>
      <c r="D8">
        <v>40</v>
      </c>
      <c r="E8">
        <v>6</v>
      </c>
      <c r="F8">
        <v>6</v>
      </c>
      <c r="G8">
        <v>0</v>
      </c>
      <c r="H8" t="s">
        <v>34</v>
      </c>
      <c r="I8">
        <v>1.4141552999790199</v>
      </c>
      <c r="J8" t="s">
        <v>35</v>
      </c>
      <c r="K8">
        <v>0</v>
      </c>
      <c r="L8">
        <v>6</v>
      </c>
      <c r="M8">
        <v>6</v>
      </c>
      <c r="N8">
        <v>6</v>
      </c>
      <c r="O8">
        <v>22.824417900002999</v>
      </c>
      <c r="Q8">
        <v>22.814083100005501</v>
      </c>
      <c r="R8">
        <v>22.824417900002999</v>
      </c>
      <c r="S8">
        <v>23.8075180999876</v>
      </c>
      <c r="T8">
        <v>23.8075180999876</v>
      </c>
      <c r="U8">
        <v>23.824270099983501</v>
      </c>
      <c r="V8">
        <v>25.224840399983801</v>
      </c>
      <c r="W8" t="s">
        <v>34</v>
      </c>
      <c r="X8">
        <v>1.4141552999790199</v>
      </c>
      <c r="Y8" t="s">
        <v>35</v>
      </c>
      <c r="Z8">
        <v>6</v>
      </c>
      <c r="AA8">
        <v>1</v>
      </c>
      <c r="AB8" t="s">
        <v>36</v>
      </c>
      <c r="AC8" t="s">
        <v>37</v>
      </c>
      <c r="AE8" t="s">
        <v>38</v>
      </c>
      <c r="AF8">
        <v>59.781188893065199</v>
      </c>
      <c r="AG8" t="s">
        <v>39</v>
      </c>
    </row>
    <row r="9" spans="1:33" x14ac:dyDescent="0.35">
      <c r="A9" t="s">
        <v>33</v>
      </c>
      <c r="B9">
        <v>6000</v>
      </c>
      <c r="C9">
        <v>8500</v>
      </c>
      <c r="D9">
        <v>20</v>
      </c>
      <c r="E9">
        <v>7</v>
      </c>
      <c r="F9">
        <v>7</v>
      </c>
      <c r="G9">
        <v>0</v>
      </c>
      <c r="H9" t="s">
        <v>34</v>
      </c>
      <c r="I9">
        <v>1.2356637000048001</v>
      </c>
      <c r="J9" t="s">
        <v>35</v>
      </c>
      <c r="K9">
        <v>0</v>
      </c>
      <c r="L9">
        <v>7</v>
      </c>
      <c r="M9">
        <v>7</v>
      </c>
      <c r="N9">
        <v>2</v>
      </c>
      <c r="O9">
        <v>25.2409545999835</v>
      </c>
      <c r="Q9">
        <v>25.230459399987001</v>
      </c>
      <c r="R9">
        <v>25.2409545999835</v>
      </c>
      <c r="S9">
        <v>26.224045199982299</v>
      </c>
      <c r="T9">
        <v>26.224045199982299</v>
      </c>
      <c r="U9">
        <v>26.241113399999399</v>
      </c>
      <c r="V9">
        <v>27.476033099985202</v>
      </c>
      <c r="W9" t="s">
        <v>34</v>
      </c>
      <c r="X9">
        <v>1.2356637000048001</v>
      </c>
      <c r="Y9" t="s">
        <v>35</v>
      </c>
      <c r="Z9">
        <v>6</v>
      </c>
      <c r="AA9">
        <v>1</v>
      </c>
      <c r="AB9" t="s">
        <v>36</v>
      </c>
      <c r="AC9" t="s">
        <v>37</v>
      </c>
      <c r="AE9" t="s">
        <v>38</v>
      </c>
      <c r="AF9">
        <v>59.781188893065199</v>
      </c>
      <c r="AG9" t="s">
        <v>39</v>
      </c>
    </row>
    <row r="10" spans="1:33" x14ac:dyDescent="0.35">
      <c r="A10" t="s">
        <v>33</v>
      </c>
      <c r="B10">
        <v>4500</v>
      </c>
      <c r="C10">
        <v>5000</v>
      </c>
      <c r="D10">
        <v>35</v>
      </c>
      <c r="E10">
        <v>8</v>
      </c>
      <c r="F10">
        <v>8</v>
      </c>
      <c r="G10">
        <v>0</v>
      </c>
      <c r="H10" t="s">
        <v>41</v>
      </c>
      <c r="I10">
        <v>0.789909000013722</v>
      </c>
      <c r="J10" t="s">
        <v>35</v>
      </c>
      <c r="K10">
        <v>0</v>
      </c>
      <c r="L10">
        <v>8</v>
      </c>
      <c r="M10">
        <v>8</v>
      </c>
      <c r="N10">
        <v>9</v>
      </c>
      <c r="O10">
        <v>27.490970699989699</v>
      </c>
      <c r="Q10">
        <v>27.485102999984498</v>
      </c>
      <c r="R10">
        <v>27.490970699989699</v>
      </c>
      <c r="S10">
        <v>28.491346599999801</v>
      </c>
      <c r="T10">
        <v>28.491346599999801</v>
      </c>
      <c r="U10">
        <v>28.491346599999801</v>
      </c>
      <c r="V10">
        <v>29.292241099988999</v>
      </c>
      <c r="W10" t="s">
        <v>41</v>
      </c>
      <c r="X10">
        <v>0.789909000013722</v>
      </c>
      <c r="Y10" t="s">
        <v>35</v>
      </c>
      <c r="Z10">
        <v>6</v>
      </c>
      <c r="AA10">
        <v>1</v>
      </c>
      <c r="AB10" t="s">
        <v>36</v>
      </c>
      <c r="AC10" t="s">
        <v>37</v>
      </c>
      <c r="AE10" t="s">
        <v>38</v>
      </c>
      <c r="AF10">
        <v>59.781188893065199</v>
      </c>
      <c r="AG10" t="s">
        <v>39</v>
      </c>
    </row>
    <row r="11" spans="1:33" x14ac:dyDescent="0.35">
      <c r="A11" t="s">
        <v>40</v>
      </c>
      <c r="B11">
        <v>8000</v>
      </c>
      <c r="C11">
        <v>10500</v>
      </c>
      <c r="D11">
        <v>20</v>
      </c>
      <c r="E11">
        <v>9</v>
      </c>
      <c r="F11">
        <v>9</v>
      </c>
      <c r="G11">
        <v>0</v>
      </c>
      <c r="H11" t="s">
        <v>41</v>
      </c>
      <c r="I11">
        <v>3.7996952999965199</v>
      </c>
      <c r="J11" t="s">
        <v>35</v>
      </c>
      <c r="K11">
        <v>0</v>
      </c>
      <c r="L11">
        <v>9</v>
      </c>
      <c r="M11">
        <v>9</v>
      </c>
      <c r="N11">
        <v>8</v>
      </c>
      <c r="O11">
        <v>29.307988099986598</v>
      </c>
      <c r="Q11">
        <v>29.297859899990701</v>
      </c>
      <c r="R11">
        <v>29.307988099986598</v>
      </c>
      <c r="S11">
        <v>30.291802699997699</v>
      </c>
      <c r="T11">
        <v>30.291802699997699</v>
      </c>
      <c r="U11">
        <v>30.308508499991099</v>
      </c>
      <c r="V11">
        <v>34.092951400001702</v>
      </c>
      <c r="W11" t="s">
        <v>41</v>
      </c>
      <c r="X11">
        <v>3.7996952999965199</v>
      </c>
      <c r="Y11" t="s">
        <v>35</v>
      </c>
      <c r="Z11">
        <v>6</v>
      </c>
      <c r="AA11">
        <v>1</v>
      </c>
      <c r="AB11" t="s">
        <v>36</v>
      </c>
      <c r="AC11" t="s">
        <v>37</v>
      </c>
      <c r="AE11" t="s">
        <v>38</v>
      </c>
      <c r="AF11">
        <v>59.781188893065199</v>
      </c>
      <c r="AG11" t="s">
        <v>39</v>
      </c>
    </row>
    <row r="12" spans="1:33" x14ac:dyDescent="0.35">
      <c r="A12" t="s">
        <v>40</v>
      </c>
      <c r="B12">
        <v>6700</v>
      </c>
      <c r="C12">
        <v>11000</v>
      </c>
      <c r="D12">
        <v>50</v>
      </c>
      <c r="E12">
        <v>10</v>
      </c>
      <c r="F12">
        <v>0</v>
      </c>
      <c r="G12">
        <v>1</v>
      </c>
      <c r="H12" t="s">
        <v>34</v>
      </c>
      <c r="I12">
        <v>1.2074473000247901</v>
      </c>
      <c r="J12" t="s">
        <v>35</v>
      </c>
      <c r="K12">
        <v>1</v>
      </c>
      <c r="L12">
        <v>0</v>
      </c>
      <c r="M12">
        <v>10</v>
      </c>
      <c r="N12">
        <v>5</v>
      </c>
      <c r="O12">
        <v>34.108939700003198</v>
      </c>
      <c r="Q12">
        <v>34.098047400009797</v>
      </c>
      <c r="R12">
        <v>34.108939700003198</v>
      </c>
      <c r="S12">
        <v>35.092814100003999</v>
      </c>
      <c r="T12">
        <v>35.092814100003999</v>
      </c>
      <c r="U12">
        <v>35.109089600009597</v>
      </c>
      <c r="V12">
        <v>36.309780199982903</v>
      </c>
      <c r="W12" t="s">
        <v>34</v>
      </c>
      <c r="X12">
        <v>1.2074473000247901</v>
      </c>
      <c r="Y12" t="s">
        <v>35</v>
      </c>
      <c r="Z12">
        <v>6</v>
      </c>
      <c r="AA12">
        <v>1</v>
      </c>
      <c r="AB12" t="s">
        <v>36</v>
      </c>
      <c r="AC12" t="s">
        <v>37</v>
      </c>
      <c r="AE12" t="s">
        <v>38</v>
      </c>
      <c r="AF12">
        <v>59.781188893065199</v>
      </c>
      <c r="AG12" t="s">
        <v>39</v>
      </c>
    </row>
    <row r="13" spans="1:33" x14ac:dyDescent="0.35">
      <c r="A13" t="s">
        <v>33</v>
      </c>
      <c r="B13">
        <v>6000</v>
      </c>
      <c r="C13">
        <v>11000</v>
      </c>
      <c r="D13">
        <v>65</v>
      </c>
      <c r="E13">
        <v>11</v>
      </c>
      <c r="F13">
        <v>1</v>
      </c>
      <c r="G13">
        <v>1</v>
      </c>
      <c r="H13" t="s">
        <v>34</v>
      </c>
      <c r="I13">
        <v>2.7305527999997099</v>
      </c>
      <c r="J13" t="s">
        <v>35</v>
      </c>
      <c r="K13">
        <v>1</v>
      </c>
      <c r="L13">
        <v>1</v>
      </c>
      <c r="M13">
        <v>11</v>
      </c>
      <c r="N13">
        <v>7</v>
      </c>
      <c r="O13">
        <v>36.326029599993397</v>
      </c>
      <c r="Q13">
        <v>36.313793300010701</v>
      </c>
      <c r="R13">
        <v>36.326029599993397</v>
      </c>
      <c r="S13">
        <v>37.309447000006898</v>
      </c>
      <c r="T13">
        <v>37.309447000006898</v>
      </c>
      <c r="U13">
        <v>37.326701399986597</v>
      </c>
      <c r="V13">
        <v>40.044576499989397</v>
      </c>
      <c r="W13" t="s">
        <v>34</v>
      </c>
      <c r="X13">
        <v>2.7305527999997099</v>
      </c>
      <c r="Y13" t="s">
        <v>35</v>
      </c>
      <c r="Z13">
        <v>6</v>
      </c>
      <c r="AA13">
        <v>1</v>
      </c>
      <c r="AB13" t="s">
        <v>36</v>
      </c>
      <c r="AC13" t="s">
        <v>37</v>
      </c>
      <c r="AE13" t="s">
        <v>38</v>
      </c>
      <c r="AF13">
        <v>59.781188893065199</v>
      </c>
      <c r="AG13" t="s">
        <v>39</v>
      </c>
    </row>
    <row r="14" spans="1:33" x14ac:dyDescent="0.35">
      <c r="A14" t="s">
        <v>40</v>
      </c>
      <c r="B14">
        <v>5000</v>
      </c>
      <c r="C14">
        <v>6500</v>
      </c>
      <c r="D14">
        <v>30</v>
      </c>
      <c r="E14">
        <v>12</v>
      </c>
      <c r="F14">
        <v>2</v>
      </c>
      <c r="G14">
        <v>1</v>
      </c>
      <c r="H14" t="s">
        <v>41</v>
      </c>
      <c r="I14">
        <v>16.110961199999998</v>
      </c>
      <c r="J14" t="s">
        <v>35</v>
      </c>
      <c r="K14">
        <v>1</v>
      </c>
      <c r="L14">
        <v>2</v>
      </c>
      <c r="M14">
        <v>12</v>
      </c>
      <c r="N14">
        <v>0</v>
      </c>
      <c r="O14">
        <v>40.059925499983301</v>
      </c>
      <c r="Q14">
        <v>40.050740999984498</v>
      </c>
      <c r="R14">
        <v>40.059925499983301</v>
      </c>
      <c r="S14">
        <v>41.043816599994898</v>
      </c>
      <c r="T14">
        <v>41.043816599994898</v>
      </c>
      <c r="U14">
        <v>41.0601597999921</v>
      </c>
      <c r="V14">
        <v>57.1636907999927</v>
      </c>
      <c r="W14" t="s">
        <v>41</v>
      </c>
      <c r="X14">
        <v>16.110961199999998</v>
      </c>
      <c r="Y14" t="s">
        <v>35</v>
      </c>
      <c r="Z14">
        <v>6</v>
      </c>
      <c r="AA14">
        <v>1</v>
      </c>
      <c r="AB14" t="s">
        <v>36</v>
      </c>
      <c r="AC14" t="s">
        <v>37</v>
      </c>
      <c r="AE14" t="s">
        <v>38</v>
      </c>
      <c r="AF14">
        <v>59.781188893065199</v>
      </c>
      <c r="AG14" t="s">
        <v>39</v>
      </c>
    </row>
    <row r="15" spans="1:33" x14ac:dyDescent="0.35">
      <c r="A15" t="s">
        <v>40</v>
      </c>
      <c r="B15">
        <v>4700</v>
      </c>
      <c r="C15">
        <v>10000</v>
      </c>
      <c r="D15">
        <v>28</v>
      </c>
      <c r="E15">
        <v>13</v>
      </c>
      <c r="F15">
        <v>3</v>
      </c>
      <c r="G15">
        <v>1</v>
      </c>
      <c r="H15" t="s">
        <v>34</v>
      </c>
      <c r="I15">
        <v>0.98933670000405904</v>
      </c>
      <c r="J15" t="s">
        <v>35</v>
      </c>
      <c r="K15">
        <v>1</v>
      </c>
      <c r="L15">
        <v>3</v>
      </c>
      <c r="M15">
        <v>13</v>
      </c>
      <c r="N15">
        <v>1</v>
      </c>
      <c r="O15">
        <v>57.179812899994403</v>
      </c>
      <c r="Q15">
        <v>57.169426599983098</v>
      </c>
      <c r="R15">
        <v>57.179812899994403</v>
      </c>
      <c r="S15">
        <v>58.162948899989701</v>
      </c>
      <c r="T15">
        <v>58.162948899989701</v>
      </c>
      <c r="U15">
        <v>58.179665800009303</v>
      </c>
      <c r="V15">
        <v>59.163783800002399</v>
      </c>
      <c r="W15" t="s">
        <v>34</v>
      </c>
      <c r="X15">
        <v>0.98933670000405904</v>
      </c>
      <c r="Y15" t="s">
        <v>35</v>
      </c>
      <c r="Z15">
        <v>6</v>
      </c>
      <c r="AA15">
        <v>1</v>
      </c>
      <c r="AB15" t="s">
        <v>36</v>
      </c>
      <c r="AC15" t="s">
        <v>37</v>
      </c>
      <c r="AE15" t="s">
        <v>38</v>
      </c>
      <c r="AF15">
        <v>59.781188893065199</v>
      </c>
      <c r="AG15" t="s">
        <v>39</v>
      </c>
    </row>
    <row r="16" spans="1:33" x14ac:dyDescent="0.35">
      <c r="A16" t="s">
        <v>33</v>
      </c>
      <c r="B16">
        <v>3500</v>
      </c>
      <c r="C16">
        <v>7000</v>
      </c>
      <c r="D16">
        <v>30</v>
      </c>
      <c r="E16">
        <v>14</v>
      </c>
      <c r="F16">
        <v>4</v>
      </c>
      <c r="G16">
        <v>1</v>
      </c>
      <c r="H16" t="s">
        <v>34</v>
      </c>
      <c r="I16">
        <v>1.2351532999891699</v>
      </c>
      <c r="J16" t="s">
        <v>35</v>
      </c>
      <c r="K16">
        <v>1</v>
      </c>
      <c r="L16">
        <v>4</v>
      </c>
      <c r="M16">
        <v>14</v>
      </c>
      <c r="N16">
        <v>3</v>
      </c>
      <c r="O16">
        <v>59.179865399986703</v>
      </c>
      <c r="Q16">
        <v>59.168046600010697</v>
      </c>
      <c r="R16">
        <v>59.179865399986703</v>
      </c>
      <c r="S16">
        <v>60.163874099991503</v>
      </c>
      <c r="T16">
        <v>60.163874099991503</v>
      </c>
      <c r="U16">
        <v>60.180334899981901</v>
      </c>
      <c r="V16">
        <v>61.414137099985901</v>
      </c>
      <c r="W16" t="s">
        <v>34</v>
      </c>
      <c r="X16">
        <v>1.2351532999891699</v>
      </c>
      <c r="Y16" t="s">
        <v>35</v>
      </c>
      <c r="Z16">
        <v>6</v>
      </c>
      <c r="AA16">
        <v>1</v>
      </c>
      <c r="AB16" t="s">
        <v>36</v>
      </c>
      <c r="AC16" t="s">
        <v>37</v>
      </c>
      <c r="AE16" t="s">
        <v>38</v>
      </c>
      <c r="AF16">
        <v>59.781188893065199</v>
      </c>
      <c r="AG16" t="s">
        <v>39</v>
      </c>
    </row>
    <row r="17" spans="1:33" x14ac:dyDescent="0.35">
      <c r="A17" t="s">
        <v>40</v>
      </c>
      <c r="B17">
        <v>8000</v>
      </c>
      <c r="C17">
        <v>10500</v>
      </c>
      <c r="D17">
        <v>20</v>
      </c>
      <c r="E17">
        <v>15</v>
      </c>
      <c r="F17">
        <v>5</v>
      </c>
      <c r="G17">
        <v>1</v>
      </c>
      <c r="H17" t="s">
        <v>41</v>
      </c>
      <c r="I17">
        <v>0.98228500000550401</v>
      </c>
      <c r="J17" t="s">
        <v>35</v>
      </c>
      <c r="K17">
        <v>1</v>
      </c>
      <c r="L17">
        <v>5</v>
      </c>
      <c r="M17">
        <v>15</v>
      </c>
      <c r="N17">
        <v>8</v>
      </c>
      <c r="O17">
        <v>61.430166300007798</v>
      </c>
      <c r="Q17">
        <v>61.4194612999854</v>
      </c>
      <c r="R17">
        <v>61.430166300007798</v>
      </c>
      <c r="S17">
        <v>62.414176999998702</v>
      </c>
      <c r="T17">
        <v>62.414176999998702</v>
      </c>
      <c r="U17">
        <v>62.430664499988701</v>
      </c>
      <c r="V17">
        <v>63.398164099984498</v>
      </c>
      <c r="W17" t="s">
        <v>41</v>
      </c>
      <c r="X17">
        <v>0.98228500000550401</v>
      </c>
      <c r="Y17" t="s">
        <v>35</v>
      </c>
      <c r="Z17">
        <v>6</v>
      </c>
      <c r="AA17">
        <v>1</v>
      </c>
      <c r="AB17" t="s">
        <v>36</v>
      </c>
      <c r="AC17" t="s">
        <v>37</v>
      </c>
      <c r="AE17" t="s">
        <v>38</v>
      </c>
      <c r="AF17">
        <v>59.781188893065199</v>
      </c>
      <c r="AG17" t="s">
        <v>39</v>
      </c>
    </row>
    <row r="18" spans="1:33" x14ac:dyDescent="0.35">
      <c r="A18" t="s">
        <v>33</v>
      </c>
      <c r="B18">
        <v>3500</v>
      </c>
      <c r="C18">
        <v>5000</v>
      </c>
      <c r="D18">
        <v>40</v>
      </c>
      <c r="E18">
        <v>16</v>
      </c>
      <c r="F18">
        <v>6</v>
      </c>
      <c r="G18">
        <v>1</v>
      </c>
      <c r="H18" t="s">
        <v>41</v>
      </c>
      <c r="I18">
        <v>0.67721120000351198</v>
      </c>
      <c r="J18" t="s">
        <v>35</v>
      </c>
      <c r="K18">
        <v>1</v>
      </c>
      <c r="L18">
        <v>6</v>
      </c>
      <c r="M18">
        <v>16</v>
      </c>
      <c r="N18">
        <v>6</v>
      </c>
      <c r="O18">
        <v>63.414244699990299</v>
      </c>
      <c r="Q18">
        <v>63.4038141999917</v>
      </c>
      <c r="R18">
        <v>63.414244699990299</v>
      </c>
      <c r="S18">
        <v>64.397619700001002</v>
      </c>
      <c r="T18">
        <v>64.397619700001002</v>
      </c>
      <c r="U18">
        <v>64.4144479999959</v>
      </c>
      <c r="V18">
        <v>65.082579499983694</v>
      </c>
      <c r="W18" t="s">
        <v>41</v>
      </c>
      <c r="X18">
        <v>0.67721120000351198</v>
      </c>
      <c r="Y18" t="s">
        <v>35</v>
      </c>
      <c r="Z18">
        <v>6</v>
      </c>
      <c r="AA18">
        <v>1</v>
      </c>
      <c r="AB18" t="s">
        <v>36</v>
      </c>
      <c r="AC18" t="s">
        <v>37</v>
      </c>
      <c r="AE18" t="s">
        <v>38</v>
      </c>
      <c r="AF18">
        <v>59.781188893065199</v>
      </c>
      <c r="AG18" t="s">
        <v>39</v>
      </c>
    </row>
    <row r="19" spans="1:33" x14ac:dyDescent="0.35">
      <c r="A19" t="s">
        <v>33</v>
      </c>
      <c r="B19">
        <v>4500</v>
      </c>
      <c r="C19">
        <v>5000</v>
      </c>
      <c r="D19">
        <v>35</v>
      </c>
      <c r="E19">
        <v>17</v>
      </c>
      <c r="F19">
        <v>7</v>
      </c>
      <c r="G19">
        <v>1</v>
      </c>
      <c r="H19" t="s">
        <v>41</v>
      </c>
      <c r="I19">
        <v>1.8070363000151699</v>
      </c>
      <c r="J19" t="s">
        <v>35</v>
      </c>
      <c r="K19">
        <v>1</v>
      </c>
      <c r="L19">
        <v>7</v>
      </c>
      <c r="M19">
        <v>17</v>
      </c>
      <c r="N19">
        <v>9</v>
      </c>
      <c r="O19">
        <v>65.097752400004495</v>
      </c>
      <c r="Q19">
        <v>65.090187399997305</v>
      </c>
      <c r="R19">
        <v>65.097752400004495</v>
      </c>
      <c r="S19">
        <v>66.098057099996296</v>
      </c>
      <c r="T19">
        <v>66.098057099996296</v>
      </c>
      <c r="U19">
        <v>66.098057099996296</v>
      </c>
      <c r="V19">
        <v>67.916263199993395</v>
      </c>
      <c r="W19" t="s">
        <v>41</v>
      </c>
      <c r="X19">
        <v>1.8070363000151699</v>
      </c>
      <c r="Y19" t="s">
        <v>35</v>
      </c>
      <c r="Z19">
        <v>6</v>
      </c>
      <c r="AA19">
        <v>1</v>
      </c>
      <c r="AB19" t="s">
        <v>36</v>
      </c>
      <c r="AC19" t="s">
        <v>37</v>
      </c>
      <c r="AE19" t="s">
        <v>38</v>
      </c>
      <c r="AF19">
        <v>59.781188893065199</v>
      </c>
      <c r="AG19" t="s">
        <v>39</v>
      </c>
    </row>
    <row r="20" spans="1:33" x14ac:dyDescent="0.35">
      <c r="A20" t="s">
        <v>40</v>
      </c>
      <c r="B20">
        <v>2000</v>
      </c>
      <c r="C20">
        <v>3500</v>
      </c>
      <c r="D20">
        <v>25</v>
      </c>
      <c r="E20">
        <v>18</v>
      </c>
      <c r="F20">
        <v>8</v>
      </c>
      <c r="G20">
        <v>1</v>
      </c>
      <c r="H20" t="s">
        <v>41</v>
      </c>
      <c r="I20">
        <v>1.06658980000065</v>
      </c>
      <c r="J20" t="s">
        <v>35</v>
      </c>
      <c r="K20">
        <v>1</v>
      </c>
      <c r="L20">
        <v>8</v>
      </c>
      <c r="M20">
        <v>18</v>
      </c>
      <c r="N20">
        <v>4</v>
      </c>
      <c r="O20">
        <v>67.9319059999834</v>
      </c>
      <c r="Q20">
        <v>67.9215282000077</v>
      </c>
      <c r="R20">
        <v>67.9319059999834</v>
      </c>
      <c r="S20">
        <v>68.931882100005097</v>
      </c>
      <c r="T20">
        <v>68.931882100005097</v>
      </c>
      <c r="U20">
        <v>68.931882100005097</v>
      </c>
      <c r="V20">
        <v>69.999886799981994</v>
      </c>
      <c r="W20" t="s">
        <v>41</v>
      </c>
      <c r="X20">
        <v>1.06658980000065</v>
      </c>
      <c r="Y20" t="s">
        <v>35</v>
      </c>
      <c r="Z20">
        <v>6</v>
      </c>
      <c r="AA20">
        <v>1</v>
      </c>
      <c r="AB20" t="s">
        <v>36</v>
      </c>
      <c r="AC20" t="s">
        <v>37</v>
      </c>
      <c r="AE20" t="s">
        <v>38</v>
      </c>
      <c r="AF20">
        <v>59.781188893065199</v>
      </c>
      <c r="AG20" t="s">
        <v>39</v>
      </c>
    </row>
    <row r="21" spans="1:33" x14ac:dyDescent="0.35">
      <c r="A21" t="s">
        <v>33</v>
      </c>
      <c r="B21">
        <v>6000</v>
      </c>
      <c r="C21">
        <v>8500</v>
      </c>
      <c r="D21">
        <v>20</v>
      </c>
      <c r="E21">
        <v>19</v>
      </c>
      <c r="F21">
        <v>9</v>
      </c>
      <c r="G21">
        <v>1</v>
      </c>
      <c r="H21" t="s">
        <v>34</v>
      </c>
      <c r="I21">
        <v>1.3287669999990599</v>
      </c>
      <c r="J21" t="s">
        <v>35</v>
      </c>
      <c r="K21">
        <v>1</v>
      </c>
      <c r="L21">
        <v>9</v>
      </c>
      <c r="M21">
        <v>19</v>
      </c>
      <c r="N21">
        <v>2</v>
      </c>
      <c r="O21">
        <v>70.015303299995097</v>
      </c>
      <c r="Q21">
        <v>70.007626400009002</v>
      </c>
      <c r="R21">
        <v>70.015303299995097</v>
      </c>
      <c r="S21">
        <v>70.999366200005099</v>
      </c>
      <c r="T21">
        <v>70.999366200005099</v>
      </c>
      <c r="U21">
        <v>71.015721600007893</v>
      </c>
      <c r="V21">
        <v>72.333535099984104</v>
      </c>
      <c r="W21" t="s">
        <v>34</v>
      </c>
      <c r="X21">
        <v>1.3287669999990599</v>
      </c>
      <c r="Y21" t="s">
        <v>35</v>
      </c>
      <c r="Z21">
        <v>6</v>
      </c>
      <c r="AA21">
        <v>1</v>
      </c>
      <c r="AB21" t="s">
        <v>36</v>
      </c>
      <c r="AC21" t="s">
        <v>37</v>
      </c>
      <c r="AE21" t="s">
        <v>38</v>
      </c>
      <c r="AF21">
        <v>59.781188893065199</v>
      </c>
      <c r="AG21" t="s">
        <v>39</v>
      </c>
    </row>
    <row r="22" spans="1:33" x14ac:dyDescent="0.35">
      <c r="A22" t="s">
        <v>33</v>
      </c>
      <c r="B22">
        <v>3500</v>
      </c>
      <c r="C22">
        <v>5000</v>
      </c>
      <c r="D22">
        <v>40</v>
      </c>
      <c r="E22">
        <v>20</v>
      </c>
      <c r="F22">
        <v>0</v>
      </c>
      <c r="G22">
        <v>2</v>
      </c>
      <c r="H22" t="s">
        <v>34</v>
      </c>
      <c r="I22">
        <v>0.70323970000026703</v>
      </c>
      <c r="J22" t="s">
        <v>35</v>
      </c>
      <c r="K22">
        <v>2</v>
      </c>
      <c r="L22">
        <v>0</v>
      </c>
      <c r="M22">
        <v>20</v>
      </c>
      <c r="N22">
        <v>6</v>
      </c>
      <c r="O22">
        <v>72.349032500001996</v>
      </c>
      <c r="Q22">
        <v>72.339554600010104</v>
      </c>
      <c r="R22">
        <v>72.349032500001996</v>
      </c>
      <c r="S22">
        <v>73.349671100004301</v>
      </c>
      <c r="T22">
        <v>73.349671100004301</v>
      </c>
      <c r="U22">
        <v>73.349671100004301</v>
      </c>
      <c r="V22">
        <v>74.066517600003806</v>
      </c>
      <c r="W22" t="s">
        <v>34</v>
      </c>
      <c r="X22">
        <v>0.70323970000026703</v>
      </c>
      <c r="Y22" t="s">
        <v>35</v>
      </c>
      <c r="Z22">
        <v>6</v>
      </c>
      <c r="AA22">
        <v>1</v>
      </c>
      <c r="AB22" t="s">
        <v>36</v>
      </c>
      <c r="AC22" t="s">
        <v>37</v>
      </c>
      <c r="AE22" t="s">
        <v>38</v>
      </c>
      <c r="AF22">
        <v>59.781188893065199</v>
      </c>
      <c r="AG22" t="s">
        <v>39</v>
      </c>
    </row>
    <row r="23" spans="1:33" x14ac:dyDescent="0.35">
      <c r="A23" t="s">
        <v>40</v>
      </c>
      <c r="B23">
        <v>6700</v>
      </c>
      <c r="C23">
        <v>11000</v>
      </c>
      <c r="D23">
        <v>50</v>
      </c>
      <c r="E23">
        <v>21</v>
      </c>
      <c r="F23">
        <v>1</v>
      </c>
      <c r="G23">
        <v>2</v>
      </c>
      <c r="H23" t="s">
        <v>34</v>
      </c>
      <c r="I23">
        <v>1.36393289998522</v>
      </c>
      <c r="J23" t="s">
        <v>35</v>
      </c>
      <c r="K23">
        <v>2</v>
      </c>
      <c r="L23">
        <v>1</v>
      </c>
      <c r="M23">
        <v>21</v>
      </c>
      <c r="N23">
        <v>5</v>
      </c>
      <c r="O23">
        <v>74.175416199985193</v>
      </c>
      <c r="Q23">
        <v>74.171588700002701</v>
      </c>
      <c r="R23">
        <v>74.175416199985193</v>
      </c>
      <c r="S23">
        <v>75.066583799984002</v>
      </c>
      <c r="T23">
        <v>75.066583799984002</v>
      </c>
      <c r="U23">
        <v>75.183182100008693</v>
      </c>
      <c r="V23">
        <v>76.433564300008499</v>
      </c>
      <c r="W23" t="s">
        <v>34</v>
      </c>
      <c r="X23">
        <v>1.36393289998522</v>
      </c>
      <c r="Y23" t="s">
        <v>35</v>
      </c>
      <c r="Z23">
        <v>6</v>
      </c>
      <c r="AA23">
        <v>1</v>
      </c>
      <c r="AB23" t="s">
        <v>36</v>
      </c>
      <c r="AC23" t="s">
        <v>37</v>
      </c>
      <c r="AE23" t="s">
        <v>38</v>
      </c>
      <c r="AF23">
        <v>59.781188893065199</v>
      </c>
      <c r="AG23" t="s">
        <v>39</v>
      </c>
    </row>
    <row r="24" spans="1:33" x14ac:dyDescent="0.35">
      <c r="A24" t="s">
        <v>40</v>
      </c>
      <c r="B24">
        <v>5000</v>
      </c>
      <c r="C24">
        <v>6500</v>
      </c>
      <c r="D24">
        <v>30</v>
      </c>
      <c r="E24">
        <v>22</v>
      </c>
      <c r="F24">
        <v>2</v>
      </c>
      <c r="G24">
        <v>2</v>
      </c>
      <c r="H24" t="s">
        <v>41</v>
      </c>
      <c r="I24">
        <v>1.8485045999987</v>
      </c>
      <c r="J24" t="s">
        <v>35</v>
      </c>
      <c r="K24">
        <v>2</v>
      </c>
      <c r="L24">
        <v>2</v>
      </c>
      <c r="M24">
        <v>22</v>
      </c>
      <c r="N24">
        <v>0</v>
      </c>
      <c r="O24">
        <v>76.449776199995497</v>
      </c>
      <c r="Q24">
        <v>76.438269799982606</v>
      </c>
      <c r="R24">
        <v>76.449776199995497</v>
      </c>
      <c r="S24">
        <v>77.433269500004798</v>
      </c>
      <c r="T24">
        <v>77.433269500004798</v>
      </c>
      <c r="U24">
        <v>77.450154499994795</v>
      </c>
      <c r="V24">
        <v>79.283881499985</v>
      </c>
      <c r="W24" t="s">
        <v>41</v>
      </c>
      <c r="X24">
        <v>1.8485045999987</v>
      </c>
      <c r="Y24" t="s">
        <v>35</v>
      </c>
      <c r="Z24">
        <v>6</v>
      </c>
      <c r="AA24">
        <v>1</v>
      </c>
      <c r="AB24" t="s">
        <v>36</v>
      </c>
      <c r="AC24" t="s">
        <v>37</v>
      </c>
      <c r="AE24" t="s">
        <v>38</v>
      </c>
      <c r="AF24">
        <v>59.781188893065199</v>
      </c>
      <c r="AG24" t="s">
        <v>39</v>
      </c>
    </row>
    <row r="25" spans="1:33" x14ac:dyDescent="0.35">
      <c r="A25" t="s">
        <v>40</v>
      </c>
      <c r="B25">
        <v>2000</v>
      </c>
      <c r="C25">
        <v>3500</v>
      </c>
      <c r="D25">
        <v>25</v>
      </c>
      <c r="E25">
        <v>23</v>
      </c>
      <c r="F25">
        <v>3</v>
      </c>
      <c r="G25">
        <v>2</v>
      </c>
      <c r="H25" t="s">
        <v>41</v>
      </c>
      <c r="I25">
        <v>0.72781650000251796</v>
      </c>
      <c r="J25" t="s">
        <v>35</v>
      </c>
      <c r="K25">
        <v>2</v>
      </c>
      <c r="L25">
        <v>3</v>
      </c>
      <c r="M25">
        <v>23</v>
      </c>
      <c r="N25">
        <v>4</v>
      </c>
      <c r="O25">
        <v>79.300443599990103</v>
      </c>
      <c r="Q25">
        <v>79.288837500003794</v>
      </c>
      <c r="R25">
        <v>79.300443599990103</v>
      </c>
      <c r="S25">
        <v>80.283887900004601</v>
      </c>
      <c r="T25">
        <v>80.283887900004601</v>
      </c>
      <c r="U25">
        <v>80.3009447999938</v>
      </c>
      <c r="V25">
        <v>81.018173499993196</v>
      </c>
      <c r="W25" t="s">
        <v>41</v>
      </c>
      <c r="X25">
        <v>0.72781650000251796</v>
      </c>
      <c r="Y25" t="s">
        <v>35</v>
      </c>
      <c r="Z25">
        <v>6</v>
      </c>
      <c r="AA25">
        <v>1</v>
      </c>
      <c r="AB25" t="s">
        <v>36</v>
      </c>
      <c r="AC25" t="s">
        <v>37</v>
      </c>
      <c r="AE25" t="s">
        <v>38</v>
      </c>
      <c r="AF25">
        <v>59.781188893065199</v>
      </c>
      <c r="AG25" t="s">
        <v>39</v>
      </c>
    </row>
    <row r="26" spans="1:33" x14ac:dyDescent="0.35">
      <c r="A26" t="s">
        <v>40</v>
      </c>
      <c r="B26">
        <v>4700</v>
      </c>
      <c r="C26">
        <v>10000</v>
      </c>
      <c r="D26">
        <v>28</v>
      </c>
      <c r="E26">
        <v>24</v>
      </c>
      <c r="F26">
        <v>4</v>
      </c>
      <c r="G26">
        <v>2</v>
      </c>
      <c r="H26" t="s">
        <v>41</v>
      </c>
      <c r="I26">
        <v>0.73439860000507895</v>
      </c>
      <c r="J26" t="s">
        <v>35</v>
      </c>
      <c r="K26">
        <v>2</v>
      </c>
      <c r="L26">
        <v>4</v>
      </c>
      <c r="M26">
        <v>24</v>
      </c>
      <c r="N26">
        <v>1</v>
      </c>
      <c r="O26">
        <v>81.033961599983698</v>
      </c>
      <c r="Q26">
        <v>81.024095300002898</v>
      </c>
      <c r="R26">
        <v>81.033961599983698</v>
      </c>
      <c r="S26">
        <v>82.017757099994895</v>
      </c>
      <c r="T26">
        <v>82.017757099994895</v>
      </c>
      <c r="U26">
        <v>82.034241199988102</v>
      </c>
      <c r="V26">
        <v>82.768777399993198</v>
      </c>
      <c r="W26" t="s">
        <v>41</v>
      </c>
      <c r="X26">
        <v>0.73439860000507895</v>
      </c>
      <c r="Y26" t="s">
        <v>35</v>
      </c>
      <c r="Z26">
        <v>6</v>
      </c>
      <c r="AA26">
        <v>1</v>
      </c>
      <c r="AB26" t="s">
        <v>36</v>
      </c>
      <c r="AC26" t="s">
        <v>37</v>
      </c>
      <c r="AE26" t="s">
        <v>38</v>
      </c>
      <c r="AF26">
        <v>59.781188893065199</v>
      </c>
      <c r="AG26" t="s">
        <v>39</v>
      </c>
    </row>
    <row r="27" spans="1:33" x14ac:dyDescent="0.35">
      <c r="A27" t="s">
        <v>40</v>
      </c>
      <c r="B27">
        <v>8000</v>
      </c>
      <c r="C27">
        <v>10500</v>
      </c>
      <c r="D27">
        <v>20</v>
      </c>
      <c r="E27">
        <v>25</v>
      </c>
      <c r="F27">
        <v>5</v>
      </c>
      <c r="G27">
        <v>2</v>
      </c>
      <c r="H27" t="s">
        <v>41</v>
      </c>
      <c r="I27">
        <v>0.52184150001266905</v>
      </c>
      <c r="J27" t="s">
        <v>35</v>
      </c>
      <c r="K27">
        <v>2</v>
      </c>
      <c r="L27">
        <v>5</v>
      </c>
      <c r="M27">
        <v>25</v>
      </c>
      <c r="N27">
        <v>8</v>
      </c>
      <c r="O27">
        <v>82.784769199992297</v>
      </c>
      <c r="Q27">
        <v>82.776703599985893</v>
      </c>
      <c r="R27">
        <v>82.784769199992297</v>
      </c>
      <c r="S27">
        <v>83.767952599999205</v>
      </c>
      <c r="T27">
        <v>83.767952599999205</v>
      </c>
      <c r="U27">
        <v>83.784597199992206</v>
      </c>
      <c r="V27">
        <v>84.301880799990599</v>
      </c>
      <c r="W27" t="s">
        <v>41</v>
      </c>
      <c r="X27">
        <v>0.52184150001266905</v>
      </c>
      <c r="Y27" t="s">
        <v>35</v>
      </c>
      <c r="Z27">
        <v>6</v>
      </c>
      <c r="AA27">
        <v>1</v>
      </c>
      <c r="AB27" t="s">
        <v>36</v>
      </c>
      <c r="AC27" t="s">
        <v>37</v>
      </c>
      <c r="AE27" t="s">
        <v>38</v>
      </c>
      <c r="AF27">
        <v>59.781188893065199</v>
      </c>
      <c r="AG27" t="s">
        <v>39</v>
      </c>
    </row>
    <row r="28" spans="1:33" x14ac:dyDescent="0.35">
      <c r="A28" t="s">
        <v>33</v>
      </c>
      <c r="B28">
        <v>6000</v>
      </c>
      <c r="C28">
        <v>8500</v>
      </c>
      <c r="D28">
        <v>20</v>
      </c>
      <c r="E28">
        <v>26</v>
      </c>
      <c r="F28">
        <v>6</v>
      </c>
      <c r="G28">
        <v>2</v>
      </c>
      <c r="H28" t="s">
        <v>34</v>
      </c>
      <c r="I28">
        <v>1.29950769999413</v>
      </c>
      <c r="J28" t="s">
        <v>35</v>
      </c>
      <c r="K28">
        <v>2</v>
      </c>
      <c r="L28">
        <v>6</v>
      </c>
      <c r="M28">
        <v>26</v>
      </c>
      <c r="N28">
        <v>2</v>
      </c>
      <c r="O28">
        <v>84.317909400007906</v>
      </c>
      <c r="Q28">
        <v>84.3070869999937</v>
      </c>
      <c r="R28">
        <v>84.317909400007906</v>
      </c>
      <c r="S28">
        <v>85.301562300010104</v>
      </c>
      <c r="T28">
        <v>85.301562300010104</v>
      </c>
      <c r="U28">
        <v>85.318255899997894</v>
      </c>
      <c r="V28">
        <v>86.602637100004301</v>
      </c>
      <c r="W28" t="s">
        <v>34</v>
      </c>
      <c r="X28">
        <v>1.29950769999413</v>
      </c>
      <c r="Y28" t="s">
        <v>35</v>
      </c>
      <c r="Z28">
        <v>6</v>
      </c>
      <c r="AA28">
        <v>1</v>
      </c>
      <c r="AB28" t="s">
        <v>36</v>
      </c>
      <c r="AC28" t="s">
        <v>37</v>
      </c>
      <c r="AE28" t="s">
        <v>38</v>
      </c>
      <c r="AF28">
        <v>59.781188893065199</v>
      </c>
      <c r="AG28" t="s">
        <v>39</v>
      </c>
    </row>
    <row r="29" spans="1:33" x14ac:dyDescent="0.35">
      <c r="A29" t="s">
        <v>33</v>
      </c>
      <c r="B29">
        <v>3500</v>
      </c>
      <c r="C29">
        <v>7000</v>
      </c>
      <c r="D29">
        <v>30</v>
      </c>
      <c r="E29">
        <v>27</v>
      </c>
      <c r="F29">
        <v>7</v>
      </c>
      <c r="G29">
        <v>2</v>
      </c>
      <c r="H29" t="s">
        <v>34</v>
      </c>
      <c r="I29">
        <v>0.93597830002545301</v>
      </c>
      <c r="J29" t="s">
        <v>35</v>
      </c>
      <c r="K29">
        <v>2</v>
      </c>
      <c r="L29">
        <v>7</v>
      </c>
      <c r="M29">
        <v>27</v>
      </c>
      <c r="N29">
        <v>3</v>
      </c>
      <c r="O29">
        <v>86.618046299990894</v>
      </c>
      <c r="Q29">
        <v>86.6076639000093</v>
      </c>
      <c r="R29">
        <v>86.618046299990894</v>
      </c>
      <c r="S29">
        <v>87.601766899984796</v>
      </c>
      <c r="T29">
        <v>87.601766899984796</v>
      </c>
      <c r="U29">
        <v>87.618568700010599</v>
      </c>
      <c r="V29">
        <v>88.552807200001496</v>
      </c>
      <c r="W29" t="s">
        <v>34</v>
      </c>
      <c r="X29">
        <v>0.93597830002545301</v>
      </c>
      <c r="Y29" t="s">
        <v>35</v>
      </c>
      <c r="Z29">
        <v>6</v>
      </c>
      <c r="AA29">
        <v>1</v>
      </c>
      <c r="AB29" t="s">
        <v>36</v>
      </c>
      <c r="AC29" t="s">
        <v>37</v>
      </c>
      <c r="AE29" t="s">
        <v>38</v>
      </c>
      <c r="AF29">
        <v>59.781188893065199</v>
      </c>
      <c r="AG29" t="s">
        <v>39</v>
      </c>
    </row>
    <row r="30" spans="1:33" x14ac:dyDescent="0.35">
      <c r="A30" t="s">
        <v>33</v>
      </c>
      <c r="B30">
        <v>6000</v>
      </c>
      <c r="C30">
        <v>11000</v>
      </c>
      <c r="D30">
        <v>65</v>
      </c>
      <c r="E30">
        <v>28</v>
      </c>
      <c r="F30">
        <v>8</v>
      </c>
      <c r="G30">
        <v>2</v>
      </c>
      <c r="H30" t="s">
        <v>34</v>
      </c>
      <c r="I30">
        <v>1.4544825000048101</v>
      </c>
      <c r="J30" t="s">
        <v>35</v>
      </c>
      <c r="K30">
        <v>2</v>
      </c>
      <c r="L30">
        <v>8</v>
      </c>
      <c r="M30">
        <v>28</v>
      </c>
      <c r="N30">
        <v>7</v>
      </c>
      <c r="O30">
        <v>88.568666999984998</v>
      </c>
      <c r="Q30">
        <v>88.557781599985901</v>
      </c>
      <c r="R30">
        <v>88.568666999984998</v>
      </c>
      <c r="S30">
        <v>89.552304399985502</v>
      </c>
      <c r="T30">
        <v>89.552304399985502</v>
      </c>
      <c r="U30">
        <v>89.569068899989304</v>
      </c>
      <c r="V30">
        <v>91.020002400007797</v>
      </c>
      <c r="W30" t="s">
        <v>34</v>
      </c>
      <c r="X30">
        <v>1.4544825000048101</v>
      </c>
      <c r="Y30" t="s">
        <v>35</v>
      </c>
      <c r="Z30">
        <v>6</v>
      </c>
      <c r="AA30">
        <v>1</v>
      </c>
      <c r="AB30" t="s">
        <v>36</v>
      </c>
      <c r="AC30" t="s">
        <v>37</v>
      </c>
      <c r="AE30" t="s">
        <v>38</v>
      </c>
      <c r="AF30">
        <v>59.781188893065199</v>
      </c>
      <c r="AG30" t="s">
        <v>39</v>
      </c>
    </row>
    <row r="31" spans="1:33" x14ac:dyDescent="0.35">
      <c r="A31" t="s">
        <v>33</v>
      </c>
      <c r="B31">
        <v>4500</v>
      </c>
      <c r="C31">
        <v>5000</v>
      </c>
      <c r="D31">
        <v>35</v>
      </c>
      <c r="E31">
        <v>29</v>
      </c>
      <c r="F31">
        <v>9</v>
      </c>
      <c r="G31">
        <v>2</v>
      </c>
      <c r="H31" t="s">
        <v>34</v>
      </c>
      <c r="I31">
        <v>1.24021930000162</v>
      </c>
      <c r="J31" t="s">
        <v>35</v>
      </c>
      <c r="K31">
        <v>2</v>
      </c>
      <c r="L31">
        <v>9</v>
      </c>
      <c r="M31">
        <v>29</v>
      </c>
      <c r="N31">
        <v>9</v>
      </c>
      <c r="O31">
        <v>91.035687900002799</v>
      </c>
      <c r="Q31">
        <v>91.027840399998198</v>
      </c>
      <c r="R31">
        <v>91.035687900002799</v>
      </c>
      <c r="S31">
        <v>92.0190518999879</v>
      </c>
      <c r="T31">
        <v>92.0190518999879</v>
      </c>
      <c r="U31">
        <v>92.036070500005707</v>
      </c>
      <c r="V31">
        <v>93.270825199986504</v>
      </c>
      <c r="W31" t="s">
        <v>34</v>
      </c>
      <c r="X31">
        <v>1.24021930000162</v>
      </c>
      <c r="Y31" t="s">
        <v>35</v>
      </c>
      <c r="Z31">
        <v>6</v>
      </c>
      <c r="AA31">
        <v>1</v>
      </c>
      <c r="AB31" t="s">
        <v>36</v>
      </c>
      <c r="AC31" t="s">
        <v>37</v>
      </c>
      <c r="AE31" t="s">
        <v>38</v>
      </c>
      <c r="AF31">
        <v>59.781188893065199</v>
      </c>
      <c r="AG31" t="s">
        <v>39</v>
      </c>
    </row>
    <row r="32" spans="1:33" x14ac:dyDescent="0.35">
      <c r="A32" t="s">
        <v>33</v>
      </c>
      <c r="B32">
        <v>6000</v>
      </c>
      <c r="C32">
        <v>8500</v>
      </c>
      <c r="D32">
        <v>20</v>
      </c>
      <c r="E32">
        <v>30</v>
      </c>
      <c r="F32">
        <v>0</v>
      </c>
      <c r="G32">
        <v>3</v>
      </c>
      <c r="H32" t="s">
        <v>34</v>
      </c>
      <c r="I32">
        <v>0.84134829998947602</v>
      </c>
      <c r="J32" t="s">
        <v>35</v>
      </c>
      <c r="K32">
        <v>3</v>
      </c>
      <c r="L32">
        <v>0</v>
      </c>
      <c r="M32">
        <v>30</v>
      </c>
      <c r="N32">
        <v>2</v>
      </c>
      <c r="O32">
        <v>93.285962199995893</v>
      </c>
      <c r="Q32">
        <v>93.278014999988898</v>
      </c>
      <c r="R32">
        <v>93.285962199995893</v>
      </c>
      <c r="S32">
        <v>94.286910800001294</v>
      </c>
      <c r="T32">
        <v>94.286910800001294</v>
      </c>
      <c r="U32">
        <v>94.286910800001294</v>
      </c>
      <c r="V32">
        <v>95.137515799986403</v>
      </c>
      <c r="W32" t="s">
        <v>34</v>
      </c>
      <c r="X32">
        <v>0.84134829998947602</v>
      </c>
      <c r="Y32" t="s">
        <v>35</v>
      </c>
      <c r="Z32">
        <v>6</v>
      </c>
      <c r="AA32">
        <v>1</v>
      </c>
      <c r="AB32" t="s">
        <v>36</v>
      </c>
      <c r="AC32" t="s">
        <v>37</v>
      </c>
      <c r="AE32" t="s">
        <v>38</v>
      </c>
      <c r="AF32">
        <v>59.781188893065199</v>
      </c>
      <c r="AG32" t="s">
        <v>39</v>
      </c>
    </row>
    <row r="33" spans="1:33" x14ac:dyDescent="0.35">
      <c r="A33" t="s">
        <v>33</v>
      </c>
      <c r="B33">
        <v>6000</v>
      </c>
      <c r="C33">
        <v>11000</v>
      </c>
      <c r="D33">
        <v>65</v>
      </c>
      <c r="E33">
        <v>31</v>
      </c>
      <c r="F33">
        <v>1</v>
      </c>
      <c r="G33">
        <v>3</v>
      </c>
      <c r="H33" t="s">
        <v>34</v>
      </c>
      <c r="I33">
        <v>0.92284519999520798</v>
      </c>
      <c r="J33" t="s">
        <v>35</v>
      </c>
      <c r="K33">
        <v>3</v>
      </c>
      <c r="L33">
        <v>1</v>
      </c>
      <c r="M33">
        <v>31</v>
      </c>
      <c r="N33">
        <v>7</v>
      </c>
      <c r="O33">
        <v>95.1530849999981</v>
      </c>
      <c r="Q33">
        <v>95.143416899984004</v>
      </c>
      <c r="R33">
        <v>95.1530849999981</v>
      </c>
      <c r="S33">
        <v>96.136931099987095</v>
      </c>
      <c r="T33">
        <v>96.136931099987095</v>
      </c>
      <c r="U33">
        <v>96.153611699992297</v>
      </c>
      <c r="V33">
        <v>97.071332899999106</v>
      </c>
      <c r="W33" t="s">
        <v>34</v>
      </c>
      <c r="X33">
        <v>0.92284519999520798</v>
      </c>
      <c r="Y33" t="s">
        <v>35</v>
      </c>
      <c r="Z33">
        <v>6</v>
      </c>
      <c r="AA33">
        <v>1</v>
      </c>
      <c r="AB33" t="s">
        <v>36</v>
      </c>
      <c r="AC33" t="s">
        <v>37</v>
      </c>
      <c r="AE33" t="s">
        <v>38</v>
      </c>
      <c r="AF33">
        <v>59.781188893065199</v>
      </c>
      <c r="AG33" t="s">
        <v>39</v>
      </c>
    </row>
    <row r="34" spans="1:33" x14ac:dyDescent="0.35">
      <c r="A34" t="s">
        <v>40</v>
      </c>
      <c r="B34">
        <v>6700</v>
      </c>
      <c r="C34">
        <v>11000</v>
      </c>
      <c r="D34">
        <v>50</v>
      </c>
      <c r="E34">
        <v>32</v>
      </c>
      <c r="F34">
        <v>2</v>
      </c>
      <c r="G34">
        <v>3</v>
      </c>
      <c r="H34" t="s">
        <v>41</v>
      </c>
      <c r="I34">
        <v>3.0725498999818202</v>
      </c>
      <c r="J34" t="s">
        <v>35</v>
      </c>
      <c r="K34">
        <v>3</v>
      </c>
      <c r="L34">
        <v>2</v>
      </c>
      <c r="M34">
        <v>32</v>
      </c>
      <c r="N34">
        <v>5</v>
      </c>
      <c r="O34">
        <v>97.086725700006298</v>
      </c>
      <c r="Q34">
        <v>97.076905099995201</v>
      </c>
      <c r="R34">
        <v>97.086725700006298</v>
      </c>
      <c r="S34">
        <v>98.070568199996998</v>
      </c>
      <c r="T34">
        <v>98.070568199996998</v>
      </c>
      <c r="U34">
        <v>98.087199400004394</v>
      </c>
      <c r="V34">
        <v>101.154916200001</v>
      </c>
      <c r="W34" t="s">
        <v>41</v>
      </c>
      <c r="X34">
        <v>3.0725498999818202</v>
      </c>
      <c r="Y34" t="s">
        <v>35</v>
      </c>
      <c r="Z34">
        <v>6</v>
      </c>
      <c r="AA34">
        <v>1</v>
      </c>
      <c r="AB34" t="s">
        <v>36</v>
      </c>
      <c r="AC34" t="s">
        <v>37</v>
      </c>
      <c r="AE34" t="s">
        <v>38</v>
      </c>
      <c r="AF34">
        <v>59.781188893065199</v>
      </c>
      <c r="AG34" t="s">
        <v>39</v>
      </c>
    </row>
    <row r="35" spans="1:33" x14ac:dyDescent="0.35">
      <c r="A35" t="s">
        <v>40</v>
      </c>
      <c r="B35">
        <v>8000</v>
      </c>
      <c r="C35">
        <v>10500</v>
      </c>
      <c r="D35">
        <v>20</v>
      </c>
      <c r="E35">
        <v>33</v>
      </c>
      <c r="F35">
        <v>3</v>
      </c>
      <c r="G35">
        <v>3</v>
      </c>
      <c r="H35" t="s">
        <v>41</v>
      </c>
      <c r="I35">
        <v>0.64894099999219101</v>
      </c>
      <c r="J35" t="s">
        <v>35</v>
      </c>
      <c r="K35">
        <v>3</v>
      </c>
      <c r="L35">
        <v>3</v>
      </c>
      <c r="M35">
        <v>33</v>
      </c>
      <c r="N35">
        <v>8</v>
      </c>
      <c r="O35">
        <v>101.171220999996</v>
      </c>
      <c r="Q35">
        <v>101.161289799987</v>
      </c>
      <c r="R35">
        <v>101.171220999996</v>
      </c>
      <c r="S35">
        <v>102.154797099996</v>
      </c>
      <c r="T35">
        <v>102.154797099996</v>
      </c>
      <c r="U35">
        <v>102.17139209999</v>
      </c>
      <c r="V35">
        <v>102.8060138</v>
      </c>
      <c r="W35" t="s">
        <v>41</v>
      </c>
      <c r="X35">
        <v>0.64894099999219101</v>
      </c>
      <c r="Y35" t="s">
        <v>35</v>
      </c>
      <c r="Z35">
        <v>6</v>
      </c>
      <c r="AA35">
        <v>1</v>
      </c>
      <c r="AB35" t="s">
        <v>36</v>
      </c>
      <c r="AC35" t="s">
        <v>37</v>
      </c>
      <c r="AE35" t="s">
        <v>38</v>
      </c>
      <c r="AF35">
        <v>59.781188893065199</v>
      </c>
      <c r="AG35" t="s">
        <v>39</v>
      </c>
    </row>
    <row r="36" spans="1:33" x14ac:dyDescent="0.35">
      <c r="A36" t="s">
        <v>40</v>
      </c>
      <c r="B36">
        <v>2000</v>
      </c>
      <c r="C36">
        <v>3500</v>
      </c>
      <c r="D36">
        <v>25</v>
      </c>
      <c r="E36">
        <v>34</v>
      </c>
      <c r="F36">
        <v>4</v>
      </c>
      <c r="G36">
        <v>3</v>
      </c>
      <c r="H36" t="s">
        <v>41</v>
      </c>
      <c r="I36">
        <v>0.56791649997467097</v>
      </c>
      <c r="J36" t="s">
        <v>35</v>
      </c>
      <c r="K36">
        <v>3</v>
      </c>
      <c r="L36">
        <v>4</v>
      </c>
      <c r="M36">
        <v>34</v>
      </c>
      <c r="N36">
        <v>4</v>
      </c>
      <c r="O36">
        <v>102.820967100007</v>
      </c>
      <c r="Q36">
        <v>102.8146787</v>
      </c>
      <c r="R36">
        <v>102.820967100007</v>
      </c>
      <c r="S36">
        <v>103.821545099985</v>
      </c>
      <c r="T36">
        <v>103.821545099985</v>
      </c>
      <c r="U36">
        <v>103.821545099985</v>
      </c>
      <c r="V36">
        <v>104.389997599995</v>
      </c>
      <c r="W36" t="s">
        <v>41</v>
      </c>
      <c r="X36">
        <v>0.56791649997467097</v>
      </c>
      <c r="Y36" t="s">
        <v>35</v>
      </c>
      <c r="Z36">
        <v>6</v>
      </c>
      <c r="AA36">
        <v>1</v>
      </c>
      <c r="AB36" t="s">
        <v>36</v>
      </c>
      <c r="AC36" t="s">
        <v>37</v>
      </c>
      <c r="AE36" t="s">
        <v>38</v>
      </c>
      <c r="AF36">
        <v>59.781188893065199</v>
      </c>
      <c r="AG36" t="s">
        <v>39</v>
      </c>
    </row>
    <row r="37" spans="1:33" x14ac:dyDescent="0.35">
      <c r="A37" t="s">
        <v>33</v>
      </c>
      <c r="B37">
        <v>3500</v>
      </c>
      <c r="C37">
        <v>5000</v>
      </c>
      <c r="D37">
        <v>40</v>
      </c>
      <c r="E37">
        <v>35</v>
      </c>
      <c r="F37">
        <v>5</v>
      </c>
      <c r="G37">
        <v>3</v>
      </c>
      <c r="H37" t="s">
        <v>34</v>
      </c>
      <c r="I37">
        <v>1.01632930000778</v>
      </c>
      <c r="J37" t="s">
        <v>35</v>
      </c>
      <c r="K37">
        <v>3</v>
      </c>
      <c r="L37">
        <v>5</v>
      </c>
      <c r="M37">
        <v>35</v>
      </c>
      <c r="N37">
        <v>6</v>
      </c>
      <c r="O37">
        <v>104.404998499987</v>
      </c>
      <c r="Q37">
        <v>104.397094199986</v>
      </c>
      <c r="R37">
        <v>104.404998499987</v>
      </c>
      <c r="S37">
        <v>105.40531179998599</v>
      </c>
      <c r="T37">
        <v>105.40531179998599</v>
      </c>
      <c r="U37">
        <v>105.40531179998599</v>
      </c>
      <c r="V37">
        <v>106.423215799994</v>
      </c>
      <c r="W37" t="s">
        <v>34</v>
      </c>
      <c r="X37">
        <v>1.01632930000778</v>
      </c>
      <c r="Y37" t="s">
        <v>35</v>
      </c>
      <c r="Z37">
        <v>6</v>
      </c>
      <c r="AA37">
        <v>1</v>
      </c>
      <c r="AB37" t="s">
        <v>36</v>
      </c>
      <c r="AC37" t="s">
        <v>37</v>
      </c>
      <c r="AE37" t="s">
        <v>38</v>
      </c>
      <c r="AF37">
        <v>59.781188893065199</v>
      </c>
      <c r="AG37" t="s">
        <v>39</v>
      </c>
    </row>
    <row r="38" spans="1:33" x14ac:dyDescent="0.35">
      <c r="A38" t="s">
        <v>40</v>
      </c>
      <c r="B38">
        <v>4700</v>
      </c>
      <c r="C38">
        <v>10000</v>
      </c>
      <c r="D38">
        <v>28</v>
      </c>
      <c r="E38">
        <v>36</v>
      </c>
      <c r="F38">
        <v>6</v>
      </c>
      <c r="G38">
        <v>3</v>
      </c>
      <c r="H38" t="s">
        <v>34</v>
      </c>
      <c r="I38">
        <v>3.20177660000626</v>
      </c>
      <c r="J38" t="s">
        <v>35</v>
      </c>
      <c r="K38">
        <v>3</v>
      </c>
      <c r="L38">
        <v>6</v>
      </c>
      <c r="M38">
        <v>36</v>
      </c>
      <c r="N38">
        <v>1</v>
      </c>
      <c r="O38">
        <v>106.438264399999</v>
      </c>
      <c r="Q38">
        <v>106.429832900001</v>
      </c>
      <c r="R38">
        <v>106.438264399999</v>
      </c>
      <c r="S38">
        <v>107.438805999991</v>
      </c>
      <c r="T38">
        <v>107.438805999991</v>
      </c>
      <c r="U38">
        <v>107.438805999991</v>
      </c>
      <c r="V38">
        <v>110.64106259998501</v>
      </c>
      <c r="W38" t="s">
        <v>34</v>
      </c>
      <c r="X38">
        <v>3.20177660000626</v>
      </c>
      <c r="Y38" t="s">
        <v>35</v>
      </c>
      <c r="Z38">
        <v>6</v>
      </c>
      <c r="AA38">
        <v>1</v>
      </c>
      <c r="AB38" t="s">
        <v>36</v>
      </c>
      <c r="AC38" t="s">
        <v>37</v>
      </c>
      <c r="AE38" t="s">
        <v>38</v>
      </c>
      <c r="AF38">
        <v>59.781188893065199</v>
      </c>
      <c r="AG38" t="s">
        <v>39</v>
      </c>
    </row>
    <row r="39" spans="1:33" x14ac:dyDescent="0.35">
      <c r="A39" t="s">
        <v>33</v>
      </c>
      <c r="B39">
        <v>4500</v>
      </c>
      <c r="C39">
        <v>5000</v>
      </c>
      <c r="D39">
        <v>35</v>
      </c>
      <c r="E39">
        <v>37</v>
      </c>
      <c r="F39">
        <v>7</v>
      </c>
      <c r="G39">
        <v>3</v>
      </c>
      <c r="H39" t="s">
        <v>34</v>
      </c>
      <c r="I39">
        <v>7.7635712999908701</v>
      </c>
      <c r="J39" t="s">
        <v>35</v>
      </c>
      <c r="K39">
        <v>3</v>
      </c>
      <c r="L39">
        <v>7</v>
      </c>
      <c r="M39">
        <v>37</v>
      </c>
      <c r="N39">
        <v>9</v>
      </c>
      <c r="O39">
        <v>110.65590599999901</v>
      </c>
      <c r="Q39">
        <v>110.646928000001</v>
      </c>
      <c r="R39">
        <v>110.65590599999901</v>
      </c>
      <c r="S39">
        <v>111.656202399986</v>
      </c>
      <c r="T39">
        <v>111.656202399986</v>
      </c>
      <c r="U39">
        <v>111.656202399986</v>
      </c>
      <c r="V39">
        <v>119.424860600003</v>
      </c>
      <c r="W39" t="s">
        <v>34</v>
      </c>
      <c r="X39">
        <v>7.7635712999908701</v>
      </c>
      <c r="Y39" t="s">
        <v>35</v>
      </c>
      <c r="Z39">
        <v>6</v>
      </c>
      <c r="AA39">
        <v>1</v>
      </c>
      <c r="AB39" t="s">
        <v>36</v>
      </c>
      <c r="AC39" t="s">
        <v>37</v>
      </c>
      <c r="AE39" t="s">
        <v>38</v>
      </c>
      <c r="AF39">
        <v>59.781188893065199</v>
      </c>
      <c r="AG39" t="s">
        <v>39</v>
      </c>
    </row>
    <row r="40" spans="1:33" x14ac:dyDescent="0.35">
      <c r="A40" t="s">
        <v>33</v>
      </c>
      <c r="B40">
        <v>3500</v>
      </c>
      <c r="C40">
        <v>7000</v>
      </c>
      <c r="D40">
        <v>30</v>
      </c>
      <c r="E40">
        <v>38</v>
      </c>
      <c r="F40">
        <v>8</v>
      </c>
      <c r="G40">
        <v>3</v>
      </c>
      <c r="H40" t="s">
        <v>41</v>
      </c>
      <c r="I40">
        <v>1.07170269999187</v>
      </c>
      <c r="J40" t="s">
        <v>35</v>
      </c>
      <c r="K40">
        <v>3</v>
      </c>
      <c r="L40">
        <v>8</v>
      </c>
      <c r="M40">
        <v>38</v>
      </c>
      <c r="N40">
        <v>3</v>
      </c>
      <c r="O40">
        <v>119.44085879999299</v>
      </c>
      <c r="Q40">
        <v>119.42949519999</v>
      </c>
      <c r="R40">
        <v>119.44085879999299</v>
      </c>
      <c r="S40">
        <v>120.424871900002</v>
      </c>
      <c r="T40">
        <v>120.424871900002</v>
      </c>
      <c r="U40">
        <v>120.441707999998</v>
      </c>
      <c r="V40">
        <v>121.508714499999</v>
      </c>
      <c r="W40" t="s">
        <v>41</v>
      </c>
      <c r="X40">
        <v>1.07170269999187</v>
      </c>
      <c r="Y40" t="s">
        <v>35</v>
      </c>
      <c r="Z40">
        <v>6</v>
      </c>
      <c r="AA40">
        <v>1</v>
      </c>
      <c r="AB40" t="s">
        <v>36</v>
      </c>
      <c r="AC40" t="s">
        <v>37</v>
      </c>
      <c r="AE40" t="s">
        <v>38</v>
      </c>
      <c r="AF40">
        <v>59.781188893065199</v>
      </c>
      <c r="AG40" t="s">
        <v>39</v>
      </c>
    </row>
    <row r="41" spans="1:33" x14ac:dyDescent="0.35">
      <c r="A41" t="s">
        <v>40</v>
      </c>
      <c r="B41">
        <v>5000</v>
      </c>
      <c r="C41">
        <v>6500</v>
      </c>
      <c r="D41">
        <v>30</v>
      </c>
      <c r="E41">
        <v>39</v>
      </c>
      <c r="F41">
        <v>9</v>
      </c>
      <c r="G41">
        <v>3</v>
      </c>
      <c r="H41" t="s">
        <v>41</v>
      </c>
      <c r="I41">
        <v>15.247437000012701</v>
      </c>
      <c r="J41" t="s">
        <v>35</v>
      </c>
      <c r="K41">
        <v>3</v>
      </c>
      <c r="L41">
        <v>9</v>
      </c>
      <c r="M41">
        <v>39</v>
      </c>
      <c r="N41">
        <v>0</v>
      </c>
      <c r="O41">
        <v>121.524276299984</v>
      </c>
      <c r="Q41">
        <v>121.514102299988</v>
      </c>
      <c r="R41">
        <v>121.524276299984</v>
      </c>
      <c r="S41">
        <v>122.508077300008</v>
      </c>
      <c r="T41">
        <v>122.508077300008</v>
      </c>
      <c r="U41">
        <v>122.52487180000701</v>
      </c>
      <c r="V41">
        <v>137.762528499995</v>
      </c>
      <c r="W41" t="s">
        <v>41</v>
      </c>
      <c r="X41">
        <v>15.247437000012701</v>
      </c>
      <c r="Y41" t="s">
        <v>35</v>
      </c>
      <c r="Z41">
        <v>6</v>
      </c>
      <c r="AA41">
        <v>1</v>
      </c>
      <c r="AB41" t="s">
        <v>36</v>
      </c>
      <c r="AC41" t="s">
        <v>37</v>
      </c>
      <c r="AE41" t="s">
        <v>38</v>
      </c>
      <c r="AF41">
        <v>59.781188893065199</v>
      </c>
      <c r="AG41" t="s">
        <v>39</v>
      </c>
    </row>
    <row r="42" spans="1:33" x14ac:dyDescent="0.35">
      <c r="A42" t="s">
        <v>40</v>
      </c>
      <c r="B42">
        <v>2000</v>
      </c>
      <c r="C42">
        <v>3500</v>
      </c>
      <c r="D42">
        <v>25</v>
      </c>
      <c r="E42">
        <v>40</v>
      </c>
      <c r="F42">
        <v>0</v>
      </c>
      <c r="G42">
        <v>4</v>
      </c>
      <c r="H42" t="s">
        <v>41</v>
      </c>
      <c r="I42">
        <v>0.62794919998850596</v>
      </c>
      <c r="J42" t="s">
        <v>35</v>
      </c>
      <c r="K42">
        <v>4</v>
      </c>
      <c r="L42">
        <v>0</v>
      </c>
      <c r="M42">
        <v>40</v>
      </c>
      <c r="N42">
        <v>4</v>
      </c>
      <c r="O42">
        <v>137.77753620000999</v>
      </c>
      <c r="Q42">
        <v>137.76888699998301</v>
      </c>
      <c r="R42">
        <v>137.77753620000999</v>
      </c>
      <c r="S42">
        <v>138.77812539998499</v>
      </c>
      <c r="T42">
        <v>138.77812539998499</v>
      </c>
      <c r="U42">
        <v>138.77812539998499</v>
      </c>
      <c r="V42">
        <v>139.411786699987</v>
      </c>
      <c r="W42" t="s">
        <v>41</v>
      </c>
      <c r="X42">
        <v>0.62794919998850596</v>
      </c>
      <c r="Y42" t="s">
        <v>35</v>
      </c>
      <c r="Z42">
        <v>6</v>
      </c>
      <c r="AA42">
        <v>1</v>
      </c>
      <c r="AB42" t="s">
        <v>36</v>
      </c>
      <c r="AC42" t="s">
        <v>37</v>
      </c>
      <c r="AE42" t="s">
        <v>38</v>
      </c>
      <c r="AF42">
        <v>59.781188893065199</v>
      </c>
      <c r="AG42" t="s">
        <v>39</v>
      </c>
    </row>
    <row r="43" spans="1:33" x14ac:dyDescent="0.35">
      <c r="A43" t="s">
        <v>40</v>
      </c>
      <c r="B43">
        <v>6700</v>
      </c>
      <c r="C43">
        <v>11000</v>
      </c>
      <c r="D43">
        <v>50</v>
      </c>
      <c r="E43">
        <v>41</v>
      </c>
      <c r="F43">
        <v>1</v>
      </c>
      <c r="G43">
        <v>4</v>
      </c>
      <c r="H43" t="s">
        <v>41</v>
      </c>
      <c r="I43">
        <v>0.76298600001609795</v>
      </c>
      <c r="J43" t="s">
        <v>35</v>
      </c>
      <c r="K43">
        <v>4</v>
      </c>
      <c r="L43">
        <v>1</v>
      </c>
      <c r="M43">
        <v>41</v>
      </c>
      <c r="N43">
        <v>5</v>
      </c>
      <c r="O43">
        <v>139.427658900007</v>
      </c>
      <c r="Q43">
        <v>139.41692069999399</v>
      </c>
      <c r="R43">
        <v>139.427658900007</v>
      </c>
      <c r="S43">
        <v>140.41208760000799</v>
      </c>
      <c r="T43">
        <v>140.41208760000799</v>
      </c>
      <c r="U43">
        <v>140.42848810000501</v>
      </c>
      <c r="V43">
        <v>141.178914799995</v>
      </c>
      <c r="W43" t="s">
        <v>41</v>
      </c>
      <c r="X43">
        <v>0.76298600001609795</v>
      </c>
      <c r="Y43" t="s">
        <v>35</v>
      </c>
      <c r="Z43">
        <v>6</v>
      </c>
      <c r="AA43">
        <v>1</v>
      </c>
      <c r="AB43" t="s">
        <v>36</v>
      </c>
      <c r="AC43" t="s">
        <v>37</v>
      </c>
      <c r="AE43" t="s">
        <v>38</v>
      </c>
      <c r="AF43">
        <v>59.781188893065199</v>
      </c>
      <c r="AG43" t="s">
        <v>39</v>
      </c>
    </row>
    <row r="44" spans="1:33" x14ac:dyDescent="0.35">
      <c r="A44" t="s">
        <v>33</v>
      </c>
      <c r="B44">
        <v>6000</v>
      </c>
      <c r="C44">
        <v>8500</v>
      </c>
      <c r="D44">
        <v>20</v>
      </c>
      <c r="E44">
        <v>42</v>
      </c>
      <c r="F44">
        <v>2</v>
      </c>
      <c r="G44">
        <v>4</v>
      </c>
      <c r="H44" t="s">
        <v>34</v>
      </c>
      <c r="I44">
        <v>2.2505839999939701</v>
      </c>
      <c r="J44" t="s">
        <v>35</v>
      </c>
      <c r="K44">
        <v>4</v>
      </c>
      <c r="L44">
        <v>2</v>
      </c>
      <c r="M44">
        <v>42</v>
      </c>
      <c r="N44">
        <v>2</v>
      </c>
      <c r="O44">
        <v>141.19480100000499</v>
      </c>
      <c r="Q44">
        <v>141.184961899998</v>
      </c>
      <c r="R44">
        <v>141.19480100000499</v>
      </c>
      <c r="S44">
        <v>142.17830179998401</v>
      </c>
      <c r="T44">
        <v>142.17830179998401</v>
      </c>
      <c r="U44">
        <v>142.19502449998899</v>
      </c>
      <c r="V44">
        <v>144.43054790000301</v>
      </c>
      <c r="W44" t="s">
        <v>34</v>
      </c>
      <c r="X44">
        <v>2.2505839999939701</v>
      </c>
      <c r="Y44" t="s">
        <v>35</v>
      </c>
      <c r="Z44">
        <v>6</v>
      </c>
      <c r="AA44">
        <v>1</v>
      </c>
      <c r="AB44" t="s">
        <v>36</v>
      </c>
      <c r="AC44" t="s">
        <v>37</v>
      </c>
      <c r="AE44" t="s">
        <v>38</v>
      </c>
      <c r="AF44">
        <v>59.781188893065199</v>
      </c>
      <c r="AG44" t="s">
        <v>39</v>
      </c>
    </row>
    <row r="45" spans="1:33" x14ac:dyDescent="0.35">
      <c r="A45" t="s">
        <v>33</v>
      </c>
      <c r="B45">
        <v>6000</v>
      </c>
      <c r="C45">
        <v>11000</v>
      </c>
      <c r="D45">
        <v>65</v>
      </c>
      <c r="E45">
        <v>43</v>
      </c>
      <c r="F45">
        <v>3</v>
      </c>
      <c r="G45">
        <v>4</v>
      </c>
      <c r="H45" t="s">
        <v>34</v>
      </c>
      <c r="I45">
        <v>0.462572500022361</v>
      </c>
      <c r="J45" t="s">
        <v>35</v>
      </c>
      <c r="K45">
        <v>4</v>
      </c>
      <c r="L45">
        <v>3</v>
      </c>
      <c r="M45">
        <v>43</v>
      </c>
      <c r="N45">
        <v>7</v>
      </c>
      <c r="O45">
        <v>144.445307499991</v>
      </c>
      <c r="Q45">
        <v>144.4372822</v>
      </c>
      <c r="R45">
        <v>144.445307499991</v>
      </c>
      <c r="S45">
        <v>145.44570209999799</v>
      </c>
      <c r="T45">
        <v>145.44570209999799</v>
      </c>
      <c r="U45">
        <v>145.44570209999799</v>
      </c>
      <c r="V45">
        <v>145.91305349999999</v>
      </c>
      <c r="W45" t="s">
        <v>34</v>
      </c>
      <c r="X45">
        <v>0.462572500022361</v>
      </c>
      <c r="Y45" t="s">
        <v>35</v>
      </c>
      <c r="Z45">
        <v>6</v>
      </c>
      <c r="AA45">
        <v>1</v>
      </c>
      <c r="AB45" t="s">
        <v>36</v>
      </c>
      <c r="AC45" t="s">
        <v>37</v>
      </c>
      <c r="AE45" t="s">
        <v>38</v>
      </c>
      <c r="AF45">
        <v>59.781188893065199</v>
      </c>
      <c r="AG45" t="s">
        <v>39</v>
      </c>
    </row>
    <row r="46" spans="1:33" x14ac:dyDescent="0.35">
      <c r="A46" t="s">
        <v>33</v>
      </c>
      <c r="B46">
        <v>4500</v>
      </c>
      <c r="C46">
        <v>5000</v>
      </c>
      <c r="D46">
        <v>35</v>
      </c>
      <c r="E46">
        <v>44</v>
      </c>
      <c r="F46">
        <v>4</v>
      </c>
      <c r="G46">
        <v>4</v>
      </c>
      <c r="H46" t="s">
        <v>34</v>
      </c>
      <c r="I46">
        <v>1.56924179999623</v>
      </c>
      <c r="J46" t="s">
        <v>35</v>
      </c>
      <c r="K46">
        <v>4</v>
      </c>
      <c r="L46">
        <v>4</v>
      </c>
      <c r="M46">
        <v>44</v>
      </c>
      <c r="N46">
        <v>9</v>
      </c>
      <c r="O46">
        <v>145.92909900000001</v>
      </c>
      <c r="Q46">
        <v>145.91847239999299</v>
      </c>
      <c r="R46">
        <v>145.92909900000001</v>
      </c>
      <c r="S46">
        <v>146.91209239998699</v>
      </c>
      <c r="T46">
        <v>146.91209239998699</v>
      </c>
      <c r="U46">
        <v>146.92904329998399</v>
      </c>
      <c r="V46">
        <v>148.496964699996</v>
      </c>
      <c r="W46" t="s">
        <v>34</v>
      </c>
      <c r="X46">
        <v>1.56924179999623</v>
      </c>
      <c r="Y46" t="s">
        <v>35</v>
      </c>
      <c r="Z46">
        <v>6</v>
      </c>
      <c r="AA46">
        <v>1</v>
      </c>
      <c r="AB46" t="s">
        <v>36</v>
      </c>
      <c r="AC46" t="s">
        <v>37</v>
      </c>
      <c r="AE46" t="s">
        <v>38</v>
      </c>
      <c r="AF46">
        <v>59.781188893065199</v>
      </c>
      <c r="AG46" t="s">
        <v>39</v>
      </c>
    </row>
    <row r="47" spans="1:33" x14ac:dyDescent="0.35">
      <c r="A47" t="s">
        <v>33</v>
      </c>
      <c r="B47">
        <v>3500</v>
      </c>
      <c r="C47">
        <v>7000</v>
      </c>
      <c r="D47">
        <v>30</v>
      </c>
      <c r="E47">
        <v>45</v>
      </c>
      <c r="F47">
        <v>5</v>
      </c>
      <c r="G47">
        <v>4</v>
      </c>
      <c r="H47" t="s">
        <v>34</v>
      </c>
      <c r="I47">
        <v>0.94500459998380304</v>
      </c>
      <c r="J47" t="s">
        <v>35</v>
      </c>
      <c r="K47">
        <v>4</v>
      </c>
      <c r="L47">
        <v>5</v>
      </c>
      <c r="M47">
        <v>45</v>
      </c>
      <c r="N47">
        <v>3</v>
      </c>
      <c r="O47">
        <v>148.51282919998599</v>
      </c>
      <c r="Q47">
        <v>148.50384479999701</v>
      </c>
      <c r="R47">
        <v>148.51282919998599</v>
      </c>
      <c r="S47">
        <v>149.51338869999699</v>
      </c>
      <c r="T47">
        <v>149.51338869999699</v>
      </c>
      <c r="U47">
        <v>149.51338869999699</v>
      </c>
      <c r="V47">
        <v>150.464114400005</v>
      </c>
      <c r="W47" t="s">
        <v>34</v>
      </c>
      <c r="X47">
        <v>0.94500459998380304</v>
      </c>
      <c r="Y47" t="s">
        <v>35</v>
      </c>
      <c r="Z47">
        <v>6</v>
      </c>
      <c r="AA47">
        <v>1</v>
      </c>
      <c r="AB47" t="s">
        <v>36</v>
      </c>
      <c r="AC47" t="s">
        <v>37</v>
      </c>
      <c r="AE47" t="s">
        <v>38</v>
      </c>
      <c r="AF47">
        <v>59.781188893065199</v>
      </c>
      <c r="AG47" t="s">
        <v>39</v>
      </c>
    </row>
    <row r="48" spans="1:33" x14ac:dyDescent="0.35">
      <c r="A48" t="s">
        <v>40</v>
      </c>
      <c r="B48">
        <v>5000</v>
      </c>
      <c r="C48">
        <v>6500</v>
      </c>
      <c r="D48">
        <v>30</v>
      </c>
      <c r="E48">
        <v>46</v>
      </c>
      <c r="F48">
        <v>6</v>
      </c>
      <c r="G48">
        <v>4</v>
      </c>
      <c r="H48" t="s">
        <v>41</v>
      </c>
      <c r="I48">
        <v>58.947385199979102</v>
      </c>
      <c r="J48" t="s">
        <v>35</v>
      </c>
      <c r="K48">
        <v>4</v>
      </c>
      <c r="L48">
        <v>6</v>
      </c>
      <c r="M48">
        <v>46</v>
      </c>
      <c r="N48">
        <v>0</v>
      </c>
      <c r="O48">
        <v>150.479819800006</v>
      </c>
      <c r="Q48">
        <v>150.47059750001</v>
      </c>
      <c r="R48">
        <v>150.479819800006</v>
      </c>
      <c r="S48">
        <v>151.463762400002</v>
      </c>
      <c r="T48">
        <v>151.463762400002</v>
      </c>
      <c r="U48">
        <v>151.479860399995</v>
      </c>
      <c r="V48">
        <v>210.425262100005</v>
      </c>
      <c r="W48" t="s">
        <v>41</v>
      </c>
      <c r="X48">
        <v>58.947385199979102</v>
      </c>
      <c r="Y48" t="s">
        <v>35</v>
      </c>
      <c r="Z48">
        <v>6</v>
      </c>
      <c r="AA48">
        <v>1</v>
      </c>
      <c r="AB48" t="s">
        <v>36</v>
      </c>
      <c r="AC48" t="s">
        <v>37</v>
      </c>
      <c r="AE48" t="s">
        <v>38</v>
      </c>
      <c r="AF48">
        <v>59.781188893065199</v>
      </c>
      <c r="AG48" t="s">
        <v>39</v>
      </c>
    </row>
    <row r="49" spans="1:33" x14ac:dyDescent="0.35">
      <c r="A49" t="s">
        <v>33</v>
      </c>
      <c r="B49">
        <v>3500</v>
      </c>
      <c r="C49">
        <v>5000</v>
      </c>
      <c r="D49">
        <v>40</v>
      </c>
      <c r="E49">
        <v>47</v>
      </c>
      <c r="F49">
        <v>7</v>
      </c>
      <c r="G49">
        <v>4</v>
      </c>
      <c r="H49" t="s">
        <v>34</v>
      </c>
      <c r="I49">
        <v>0.77804339997237504</v>
      </c>
      <c r="J49" t="s">
        <v>35</v>
      </c>
      <c r="K49">
        <v>4</v>
      </c>
      <c r="L49">
        <v>7</v>
      </c>
      <c r="M49">
        <v>47</v>
      </c>
      <c r="N49">
        <v>6</v>
      </c>
      <c r="O49">
        <v>210.44088280000099</v>
      </c>
      <c r="Q49">
        <v>210.432479399984</v>
      </c>
      <c r="R49">
        <v>210.44088280000099</v>
      </c>
      <c r="S49">
        <v>211.44072650000399</v>
      </c>
      <c r="T49">
        <v>211.44072650000399</v>
      </c>
      <c r="U49">
        <v>211.44072650000399</v>
      </c>
      <c r="V49">
        <v>212.22527470000199</v>
      </c>
      <c r="W49" t="s">
        <v>34</v>
      </c>
      <c r="X49">
        <v>0.77804339997237504</v>
      </c>
      <c r="Y49" t="s">
        <v>35</v>
      </c>
      <c r="Z49">
        <v>6</v>
      </c>
      <c r="AA49">
        <v>1</v>
      </c>
      <c r="AB49" t="s">
        <v>36</v>
      </c>
      <c r="AC49" t="s">
        <v>37</v>
      </c>
      <c r="AE49" t="s">
        <v>38</v>
      </c>
      <c r="AF49">
        <v>59.781188893065199</v>
      </c>
      <c r="AG49" t="s">
        <v>39</v>
      </c>
    </row>
    <row r="50" spans="1:33" x14ac:dyDescent="0.35">
      <c r="A50" t="s">
        <v>40</v>
      </c>
      <c r="B50">
        <v>4700</v>
      </c>
      <c r="C50">
        <v>10000</v>
      </c>
      <c r="D50">
        <v>28</v>
      </c>
      <c r="E50">
        <v>48</v>
      </c>
      <c r="F50">
        <v>8</v>
      </c>
      <c r="G50">
        <v>4</v>
      </c>
      <c r="H50" t="s">
        <v>41</v>
      </c>
      <c r="I50">
        <v>0.83969839999917895</v>
      </c>
      <c r="J50" t="s">
        <v>35</v>
      </c>
      <c r="K50">
        <v>4</v>
      </c>
      <c r="L50">
        <v>8</v>
      </c>
      <c r="M50">
        <v>48</v>
      </c>
      <c r="N50">
        <v>1</v>
      </c>
      <c r="O50">
        <v>212.24053799998299</v>
      </c>
      <c r="Q50">
        <v>212.232486599998</v>
      </c>
      <c r="R50">
        <v>212.24053799998299</v>
      </c>
      <c r="S50">
        <v>213.241099899983</v>
      </c>
      <c r="T50">
        <v>213.241099899983</v>
      </c>
      <c r="U50">
        <v>213.241099899983</v>
      </c>
      <c r="V50">
        <v>214.09246610000201</v>
      </c>
      <c r="W50" t="s">
        <v>41</v>
      </c>
      <c r="X50">
        <v>0.83969839999917895</v>
      </c>
      <c r="Y50" t="s">
        <v>35</v>
      </c>
      <c r="Z50">
        <v>6</v>
      </c>
      <c r="AA50">
        <v>1</v>
      </c>
      <c r="AB50" t="s">
        <v>36</v>
      </c>
      <c r="AC50" t="s">
        <v>37</v>
      </c>
      <c r="AE50" t="s">
        <v>38</v>
      </c>
      <c r="AF50">
        <v>59.781188893065199</v>
      </c>
      <c r="AG50" t="s">
        <v>39</v>
      </c>
    </row>
    <row r="51" spans="1:33" x14ac:dyDescent="0.35">
      <c r="A51" t="s">
        <v>40</v>
      </c>
      <c r="B51">
        <v>8000</v>
      </c>
      <c r="C51">
        <v>10500</v>
      </c>
      <c r="D51">
        <v>20</v>
      </c>
      <c r="E51">
        <v>49</v>
      </c>
      <c r="F51">
        <v>9</v>
      </c>
      <c r="G51">
        <v>4</v>
      </c>
      <c r="H51" t="s">
        <v>41</v>
      </c>
      <c r="I51">
        <v>1.15136379998875</v>
      </c>
      <c r="J51" t="s">
        <v>35</v>
      </c>
      <c r="K51">
        <v>4</v>
      </c>
      <c r="L51">
        <v>9</v>
      </c>
      <c r="M51">
        <v>49</v>
      </c>
      <c r="N51">
        <v>8</v>
      </c>
      <c r="O51">
        <v>214.107744499982</v>
      </c>
      <c r="Q51">
        <v>214.10010670000301</v>
      </c>
      <c r="R51">
        <v>214.107744499982</v>
      </c>
      <c r="S51">
        <v>215.10800109998601</v>
      </c>
      <c r="T51">
        <v>215.10800109998601</v>
      </c>
      <c r="U51">
        <v>215.10800109998601</v>
      </c>
      <c r="V51">
        <v>216.26019450000601</v>
      </c>
      <c r="W51" t="s">
        <v>41</v>
      </c>
      <c r="X51">
        <v>1.15136379998875</v>
      </c>
      <c r="Y51" t="s">
        <v>35</v>
      </c>
      <c r="Z51">
        <v>6</v>
      </c>
      <c r="AA51">
        <v>1</v>
      </c>
      <c r="AB51" t="s">
        <v>36</v>
      </c>
      <c r="AC51" t="s">
        <v>37</v>
      </c>
      <c r="AE51" t="s">
        <v>38</v>
      </c>
      <c r="AF51">
        <v>59.781188893065199</v>
      </c>
      <c r="AG51" t="s">
        <v>39</v>
      </c>
    </row>
    <row r="52" spans="1:33" x14ac:dyDescent="0.35">
      <c r="A52" t="s">
        <v>33</v>
      </c>
      <c r="B52">
        <v>3500</v>
      </c>
      <c r="C52">
        <v>5000</v>
      </c>
      <c r="D52">
        <v>40</v>
      </c>
      <c r="E52">
        <v>50</v>
      </c>
      <c r="F52">
        <v>0</v>
      </c>
      <c r="G52">
        <v>5</v>
      </c>
      <c r="H52" t="s">
        <v>41</v>
      </c>
      <c r="I52">
        <v>3.6412429000192699</v>
      </c>
      <c r="J52" t="s">
        <v>35</v>
      </c>
      <c r="K52">
        <v>5</v>
      </c>
      <c r="L52">
        <v>0</v>
      </c>
      <c r="M52">
        <v>50</v>
      </c>
      <c r="N52">
        <v>6</v>
      </c>
      <c r="O52">
        <v>216.27463020000101</v>
      </c>
      <c r="Q52">
        <v>216.265108999999</v>
      </c>
      <c r="R52">
        <v>216.27463020000101</v>
      </c>
      <c r="S52">
        <v>217.27518870000401</v>
      </c>
      <c r="T52">
        <v>217.27518870000401</v>
      </c>
      <c r="U52">
        <v>217.27518870000401</v>
      </c>
      <c r="V52">
        <v>220.926356399984</v>
      </c>
      <c r="W52" t="s">
        <v>41</v>
      </c>
      <c r="X52">
        <v>3.6412429000192699</v>
      </c>
      <c r="Y52" t="s">
        <v>35</v>
      </c>
      <c r="Z52">
        <v>6</v>
      </c>
      <c r="AA52">
        <v>1</v>
      </c>
      <c r="AB52" t="s">
        <v>36</v>
      </c>
      <c r="AC52" t="s">
        <v>37</v>
      </c>
      <c r="AE52" t="s">
        <v>38</v>
      </c>
      <c r="AF52">
        <v>59.781188893065199</v>
      </c>
      <c r="AG52" t="s">
        <v>39</v>
      </c>
    </row>
    <row r="53" spans="1:33" x14ac:dyDescent="0.35">
      <c r="A53" t="s">
        <v>40</v>
      </c>
      <c r="B53">
        <v>8000</v>
      </c>
      <c r="C53">
        <v>10500</v>
      </c>
      <c r="D53">
        <v>20</v>
      </c>
      <c r="E53">
        <v>51</v>
      </c>
      <c r="F53">
        <v>1</v>
      </c>
      <c r="G53">
        <v>5</v>
      </c>
      <c r="H53" t="s">
        <v>41</v>
      </c>
      <c r="I53">
        <v>1.4100919999764301</v>
      </c>
      <c r="J53" t="s">
        <v>35</v>
      </c>
      <c r="K53">
        <v>5</v>
      </c>
      <c r="L53">
        <v>1</v>
      </c>
      <c r="M53">
        <v>51</v>
      </c>
      <c r="N53">
        <v>8</v>
      </c>
      <c r="O53">
        <v>220.942363799986</v>
      </c>
      <c r="Q53">
        <v>220.933047800004</v>
      </c>
      <c r="R53">
        <v>220.942363799986</v>
      </c>
      <c r="S53">
        <v>221.926065599982</v>
      </c>
      <c r="T53">
        <v>221.926065599982</v>
      </c>
      <c r="U53">
        <v>221.942730299982</v>
      </c>
      <c r="V53">
        <v>223.343528700002</v>
      </c>
      <c r="W53" t="s">
        <v>41</v>
      </c>
      <c r="X53">
        <v>1.4100919999764301</v>
      </c>
      <c r="Y53" t="s">
        <v>35</v>
      </c>
      <c r="Z53">
        <v>6</v>
      </c>
      <c r="AA53">
        <v>1</v>
      </c>
      <c r="AB53" t="s">
        <v>36</v>
      </c>
      <c r="AC53" t="s">
        <v>37</v>
      </c>
      <c r="AE53" t="s">
        <v>38</v>
      </c>
      <c r="AF53">
        <v>59.781188893065199</v>
      </c>
      <c r="AG53" t="s">
        <v>39</v>
      </c>
    </row>
    <row r="54" spans="1:33" x14ac:dyDescent="0.35">
      <c r="A54" t="s">
        <v>33</v>
      </c>
      <c r="B54">
        <v>3500</v>
      </c>
      <c r="C54">
        <v>7000</v>
      </c>
      <c r="D54">
        <v>30</v>
      </c>
      <c r="E54">
        <v>52</v>
      </c>
      <c r="F54">
        <v>2</v>
      </c>
      <c r="G54">
        <v>5</v>
      </c>
      <c r="H54" t="s">
        <v>34</v>
      </c>
      <c r="I54">
        <v>0.87534910000977095</v>
      </c>
      <c r="J54" t="s">
        <v>35</v>
      </c>
      <c r="K54">
        <v>5</v>
      </c>
      <c r="L54">
        <v>2</v>
      </c>
      <c r="M54">
        <v>52</v>
      </c>
      <c r="N54">
        <v>3</v>
      </c>
      <c r="O54">
        <v>223.35952589998399</v>
      </c>
      <c r="Q54">
        <v>223.34936049999601</v>
      </c>
      <c r="R54">
        <v>223.35952589998399</v>
      </c>
      <c r="S54">
        <v>224.34305969998201</v>
      </c>
      <c r="T54">
        <v>224.34305969998201</v>
      </c>
      <c r="U54">
        <v>224.35969720000799</v>
      </c>
      <c r="V54">
        <v>225.22780769999301</v>
      </c>
      <c r="W54" t="s">
        <v>34</v>
      </c>
      <c r="X54">
        <v>0.87534910000977095</v>
      </c>
      <c r="Y54" t="s">
        <v>35</v>
      </c>
      <c r="Z54">
        <v>6</v>
      </c>
      <c r="AA54">
        <v>1</v>
      </c>
      <c r="AB54" t="s">
        <v>36</v>
      </c>
      <c r="AC54" t="s">
        <v>37</v>
      </c>
      <c r="AE54" t="s">
        <v>38</v>
      </c>
      <c r="AF54">
        <v>59.781188893065199</v>
      </c>
      <c r="AG54" t="s">
        <v>39</v>
      </c>
    </row>
    <row r="55" spans="1:33" x14ac:dyDescent="0.35">
      <c r="A55" t="s">
        <v>40</v>
      </c>
      <c r="B55">
        <v>2000</v>
      </c>
      <c r="C55">
        <v>3500</v>
      </c>
      <c r="D55">
        <v>25</v>
      </c>
      <c r="E55">
        <v>53</v>
      </c>
      <c r="F55">
        <v>3</v>
      </c>
      <c r="G55">
        <v>5</v>
      </c>
      <c r="H55" t="s">
        <v>41</v>
      </c>
      <c r="I55">
        <v>0.692915899999206</v>
      </c>
      <c r="J55" t="s">
        <v>35</v>
      </c>
      <c r="K55">
        <v>5</v>
      </c>
      <c r="L55">
        <v>3</v>
      </c>
      <c r="M55">
        <v>53</v>
      </c>
      <c r="N55">
        <v>4</v>
      </c>
      <c r="O55">
        <v>225.24315960000899</v>
      </c>
      <c r="Q55">
        <v>225.23505729998499</v>
      </c>
      <c r="R55">
        <v>225.24315960000899</v>
      </c>
      <c r="S55">
        <v>226.24370349998901</v>
      </c>
      <c r="T55">
        <v>226.24370349998901</v>
      </c>
      <c r="U55">
        <v>226.24370349998901</v>
      </c>
      <c r="V55">
        <v>226.94483819999701</v>
      </c>
      <c r="W55" t="s">
        <v>41</v>
      </c>
      <c r="X55">
        <v>0.692915899999206</v>
      </c>
      <c r="Y55" t="s">
        <v>35</v>
      </c>
      <c r="Z55">
        <v>6</v>
      </c>
      <c r="AA55">
        <v>1</v>
      </c>
      <c r="AB55" t="s">
        <v>36</v>
      </c>
      <c r="AC55" t="s">
        <v>37</v>
      </c>
      <c r="AE55" t="s">
        <v>38</v>
      </c>
      <c r="AF55">
        <v>59.781188893065199</v>
      </c>
      <c r="AG55" t="s">
        <v>39</v>
      </c>
    </row>
    <row r="56" spans="1:33" x14ac:dyDescent="0.35">
      <c r="A56" t="s">
        <v>33</v>
      </c>
      <c r="B56">
        <v>6000</v>
      </c>
      <c r="C56">
        <v>8500</v>
      </c>
      <c r="D56">
        <v>20</v>
      </c>
      <c r="E56">
        <v>54</v>
      </c>
      <c r="F56">
        <v>4</v>
      </c>
      <c r="G56">
        <v>5</v>
      </c>
      <c r="H56" t="s">
        <v>34</v>
      </c>
      <c r="I56">
        <v>0.47699210001155701</v>
      </c>
      <c r="J56" t="s">
        <v>35</v>
      </c>
      <c r="K56">
        <v>5</v>
      </c>
      <c r="L56">
        <v>4</v>
      </c>
      <c r="M56">
        <v>54</v>
      </c>
      <c r="N56">
        <v>2</v>
      </c>
      <c r="O56">
        <v>226.96023389999701</v>
      </c>
      <c r="Q56">
        <v>226.95172650000299</v>
      </c>
      <c r="R56">
        <v>226.96023389999701</v>
      </c>
      <c r="S56">
        <v>227.96045939999701</v>
      </c>
      <c r="T56">
        <v>227.96045939999701</v>
      </c>
      <c r="U56">
        <v>227.96045939999701</v>
      </c>
      <c r="V56">
        <v>228.44457150000301</v>
      </c>
      <c r="W56" t="s">
        <v>34</v>
      </c>
      <c r="X56">
        <v>0.47699210001155701</v>
      </c>
      <c r="Y56" t="s">
        <v>35</v>
      </c>
      <c r="Z56">
        <v>6</v>
      </c>
      <c r="AA56">
        <v>1</v>
      </c>
      <c r="AB56" t="s">
        <v>36</v>
      </c>
      <c r="AC56" t="s">
        <v>37</v>
      </c>
      <c r="AE56" t="s">
        <v>38</v>
      </c>
      <c r="AF56">
        <v>59.781188893065199</v>
      </c>
      <c r="AG56" t="s">
        <v>39</v>
      </c>
    </row>
    <row r="57" spans="1:33" x14ac:dyDescent="0.35">
      <c r="A57" t="s">
        <v>33</v>
      </c>
      <c r="B57">
        <v>4500</v>
      </c>
      <c r="C57">
        <v>5000</v>
      </c>
      <c r="D57">
        <v>35</v>
      </c>
      <c r="E57">
        <v>55</v>
      </c>
      <c r="F57">
        <v>5</v>
      </c>
      <c r="G57">
        <v>5</v>
      </c>
      <c r="H57" t="s">
        <v>34</v>
      </c>
      <c r="I57">
        <v>0.81309800001326904</v>
      </c>
      <c r="J57" t="s">
        <v>35</v>
      </c>
      <c r="K57">
        <v>5</v>
      </c>
      <c r="L57">
        <v>5</v>
      </c>
      <c r="M57">
        <v>55</v>
      </c>
      <c r="N57">
        <v>9</v>
      </c>
      <c r="O57">
        <v>228.46030219999301</v>
      </c>
      <c r="Q57">
        <v>228.450323700002</v>
      </c>
      <c r="R57">
        <v>228.46030219999301</v>
      </c>
      <c r="S57">
        <v>229.443972200009</v>
      </c>
      <c r="T57">
        <v>229.443972200009</v>
      </c>
      <c r="U57">
        <v>229.46044069999999</v>
      </c>
      <c r="V57">
        <v>230.261671899992</v>
      </c>
      <c r="W57" t="s">
        <v>34</v>
      </c>
      <c r="X57">
        <v>0.81309800001326904</v>
      </c>
      <c r="Y57" t="s">
        <v>35</v>
      </c>
      <c r="Z57">
        <v>6</v>
      </c>
      <c r="AA57">
        <v>1</v>
      </c>
      <c r="AB57" t="s">
        <v>36</v>
      </c>
      <c r="AC57" t="s">
        <v>37</v>
      </c>
      <c r="AE57" t="s">
        <v>38</v>
      </c>
      <c r="AF57">
        <v>59.781188893065199</v>
      </c>
      <c r="AG57" t="s">
        <v>39</v>
      </c>
    </row>
    <row r="58" spans="1:33" x14ac:dyDescent="0.35">
      <c r="A58" t="s">
        <v>40</v>
      </c>
      <c r="B58">
        <v>5000</v>
      </c>
      <c r="C58">
        <v>6500</v>
      </c>
      <c r="D58">
        <v>30</v>
      </c>
      <c r="E58">
        <v>56</v>
      </c>
      <c r="F58">
        <v>6</v>
      </c>
      <c r="G58">
        <v>5</v>
      </c>
      <c r="H58" t="s">
        <v>41</v>
      </c>
      <c r="I58">
        <v>1.07432829999015</v>
      </c>
      <c r="J58" t="s">
        <v>35</v>
      </c>
      <c r="K58">
        <v>5</v>
      </c>
      <c r="L58">
        <v>6</v>
      </c>
      <c r="M58">
        <v>56</v>
      </c>
      <c r="N58">
        <v>0</v>
      </c>
      <c r="O58">
        <v>230.27740749999001</v>
      </c>
      <c r="Q58">
        <v>230.267806099989</v>
      </c>
      <c r="R58">
        <v>230.27740749999001</v>
      </c>
      <c r="S58">
        <v>231.26123390000399</v>
      </c>
      <c r="T58">
        <v>231.26123390000399</v>
      </c>
      <c r="U58">
        <v>231.27764059999001</v>
      </c>
      <c r="V58">
        <v>232.345206600002</v>
      </c>
      <c r="W58" t="s">
        <v>41</v>
      </c>
      <c r="X58">
        <v>1.07432829999015</v>
      </c>
      <c r="Y58" t="s">
        <v>35</v>
      </c>
      <c r="Z58">
        <v>6</v>
      </c>
      <c r="AA58">
        <v>1</v>
      </c>
      <c r="AB58" t="s">
        <v>36</v>
      </c>
      <c r="AC58" t="s">
        <v>37</v>
      </c>
      <c r="AE58" t="s">
        <v>38</v>
      </c>
      <c r="AF58">
        <v>59.781188893065199</v>
      </c>
      <c r="AG58" t="s">
        <v>39</v>
      </c>
    </row>
    <row r="59" spans="1:33" x14ac:dyDescent="0.35">
      <c r="A59" t="s">
        <v>40</v>
      </c>
      <c r="B59">
        <v>4700</v>
      </c>
      <c r="C59">
        <v>10000</v>
      </c>
      <c r="D59">
        <v>28</v>
      </c>
      <c r="E59">
        <v>57</v>
      </c>
      <c r="F59">
        <v>7</v>
      </c>
      <c r="G59">
        <v>5</v>
      </c>
      <c r="H59" t="s">
        <v>34</v>
      </c>
      <c r="I59">
        <v>0.26546120000420997</v>
      </c>
      <c r="J59" t="s">
        <v>35</v>
      </c>
      <c r="K59">
        <v>5</v>
      </c>
      <c r="L59">
        <v>7</v>
      </c>
      <c r="M59">
        <v>57</v>
      </c>
      <c r="N59">
        <v>1</v>
      </c>
      <c r="O59">
        <v>232.36110789998199</v>
      </c>
      <c r="Q59">
        <v>232.352419700007</v>
      </c>
      <c r="R59">
        <v>232.36110789998199</v>
      </c>
      <c r="S59">
        <v>233.344715099985</v>
      </c>
      <c r="T59">
        <v>233.344715099985</v>
      </c>
      <c r="U59">
        <v>233.36146789998699</v>
      </c>
      <c r="V59">
        <v>233.61200520000401</v>
      </c>
      <c r="W59" t="s">
        <v>34</v>
      </c>
      <c r="X59">
        <v>0.26546120000420997</v>
      </c>
      <c r="Y59" t="s">
        <v>35</v>
      </c>
      <c r="Z59">
        <v>6</v>
      </c>
      <c r="AA59">
        <v>1</v>
      </c>
      <c r="AB59" t="s">
        <v>36</v>
      </c>
      <c r="AC59" t="s">
        <v>37</v>
      </c>
      <c r="AE59" t="s">
        <v>38</v>
      </c>
      <c r="AF59">
        <v>59.781188893065199</v>
      </c>
      <c r="AG59" t="s">
        <v>39</v>
      </c>
    </row>
    <row r="60" spans="1:33" x14ac:dyDescent="0.35">
      <c r="A60" t="s">
        <v>33</v>
      </c>
      <c r="B60">
        <v>6000</v>
      </c>
      <c r="C60">
        <v>11000</v>
      </c>
      <c r="D60">
        <v>65</v>
      </c>
      <c r="E60">
        <v>58</v>
      </c>
      <c r="F60">
        <v>8</v>
      </c>
      <c r="G60">
        <v>5</v>
      </c>
      <c r="H60" t="s">
        <v>41</v>
      </c>
      <c r="I60">
        <v>0.43904699999256902</v>
      </c>
      <c r="J60" t="s">
        <v>35</v>
      </c>
      <c r="K60">
        <v>5</v>
      </c>
      <c r="L60">
        <v>8</v>
      </c>
      <c r="M60">
        <v>58</v>
      </c>
      <c r="N60">
        <v>7</v>
      </c>
      <c r="O60">
        <v>233.62802929998699</v>
      </c>
      <c r="Q60">
        <v>233.61690829999799</v>
      </c>
      <c r="R60">
        <v>233.62802929998699</v>
      </c>
      <c r="S60">
        <v>234.61135520000201</v>
      </c>
      <c r="T60">
        <v>234.61135520000201</v>
      </c>
      <c r="U60">
        <v>234.62830439998601</v>
      </c>
      <c r="V60">
        <v>235.062218999984</v>
      </c>
      <c r="W60" t="s">
        <v>41</v>
      </c>
      <c r="X60">
        <v>0.43904699999256902</v>
      </c>
      <c r="Y60" t="s">
        <v>35</v>
      </c>
      <c r="Z60">
        <v>6</v>
      </c>
      <c r="AA60">
        <v>1</v>
      </c>
      <c r="AB60" t="s">
        <v>36</v>
      </c>
      <c r="AC60" t="s">
        <v>37</v>
      </c>
      <c r="AE60" t="s">
        <v>38</v>
      </c>
      <c r="AF60">
        <v>59.781188893065199</v>
      </c>
      <c r="AG60" t="s">
        <v>39</v>
      </c>
    </row>
    <row r="61" spans="1:33" x14ac:dyDescent="0.35">
      <c r="A61" t="s">
        <v>40</v>
      </c>
      <c r="B61">
        <v>6700</v>
      </c>
      <c r="C61">
        <v>11000</v>
      </c>
      <c r="D61">
        <v>50</v>
      </c>
      <c r="E61">
        <v>59</v>
      </c>
      <c r="F61">
        <v>9</v>
      </c>
      <c r="G61">
        <v>5</v>
      </c>
      <c r="H61" t="s">
        <v>41</v>
      </c>
      <c r="I61">
        <v>0.56228109999210496</v>
      </c>
      <c r="J61" t="s">
        <v>35</v>
      </c>
      <c r="K61">
        <v>5</v>
      </c>
      <c r="L61">
        <v>9</v>
      </c>
      <c r="M61">
        <v>59</v>
      </c>
      <c r="N61">
        <v>5</v>
      </c>
      <c r="O61">
        <v>235.07838190000601</v>
      </c>
      <c r="Q61">
        <v>235.067427900008</v>
      </c>
      <c r="R61">
        <v>235.07838190000601</v>
      </c>
      <c r="S61">
        <v>236.06180639998601</v>
      </c>
      <c r="T61">
        <v>236.06180639998601</v>
      </c>
      <c r="U61">
        <v>236.07890319998799</v>
      </c>
      <c r="V61">
        <v>236.62943830000501</v>
      </c>
      <c r="W61" t="s">
        <v>41</v>
      </c>
      <c r="X61">
        <v>0.56228109999210496</v>
      </c>
      <c r="Y61" t="s">
        <v>35</v>
      </c>
      <c r="Z61">
        <v>6</v>
      </c>
      <c r="AA61">
        <v>1</v>
      </c>
      <c r="AB61" t="s">
        <v>36</v>
      </c>
      <c r="AC61" t="s">
        <v>37</v>
      </c>
      <c r="AE61" t="s">
        <v>38</v>
      </c>
      <c r="AF61">
        <v>59.781188893065199</v>
      </c>
      <c r="AG61" t="s">
        <v>39</v>
      </c>
    </row>
    <row r="62" spans="1:33" x14ac:dyDescent="0.35">
      <c r="A62" t="s">
        <v>40</v>
      </c>
      <c r="B62">
        <v>6700</v>
      </c>
      <c r="C62">
        <v>11000</v>
      </c>
      <c r="D62">
        <v>50</v>
      </c>
      <c r="E62">
        <v>60</v>
      </c>
      <c r="F62">
        <v>0</v>
      </c>
      <c r="G62">
        <v>6</v>
      </c>
      <c r="H62" t="s">
        <v>41</v>
      </c>
      <c r="I62">
        <v>0.39211519999662398</v>
      </c>
      <c r="J62" t="s">
        <v>35</v>
      </c>
      <c r="K62">
        <v>6</v>
      </c>
      <c r="L62">
        <v>0</v>
      </c>
      <c r="M62">
        <v>60</v>
      </c>
      <c r="N62">
        <v>5</v>
      </c>
      <c r="O62">
        <v>236.64520100000601</v>
      </c>
      <c r="Q62">
        <v>236.62962009999299</v>
      </c>
      <c r="R62">
        <v>236.64520100000601</v>
      </c>
      <c r="S62">
        <v>237.628647999983</v>
      </c>
      <c r="T62">
        <v>237.628647999983</v>
      </c>
      <c r="U62">
        <v>237.645525200001</v>
      </c>
      <c r="V62">
        <v>238.02951279998501</v>
      </c>
      <c r="W62" t="s">
        <v>41</v>
      </c>
      <c r="X62">
        <v>0.39211519999662398</v>
      </c>
      <c r="Y62" t="s">
        <v>35</v>
      </c>
      <c r="Z62">
        <v>6</v>
      </c>
      <c r="AA62">
        <v>1</v>
      </c>
      <c r="AB62" t="s">
        <v>36</v>
      </c>
      <c r="AC62" t="s">
        <v>37</v>
      </c>
      <c r="AE62" t="s">
        <v>38</v>
      </c>
      <c r="AF62">
        <v>59.781188893065199</v>
      </c>
      <c r="AG62" t="s">
        <v>39</v>
      </c>
    </row>
    <row r="63" spans="1:33" x14ac:dyDescent="0.35">
      <c r="A63" t="s">
        <v>33</v>
      </c>
      <c r="B63">
        <v>3500</v>
      </c>
      <c r="C63">
        <v>7000</v>
      </c>
      <c r="D63">
        <v>30</v>
      </c>
      <c r="E63">
        <v>61</v>
      </c>
      <c r="F63">
        <v>1</v>
      </c>
      <c r="G63">
        <v>6</v>
      </c>
      <c r="H63" t="s">
        <v>41</v>
      </c>
      <c r="I63">
        <v>0.77768070000456602</v>
      </c>
      <c r="J63" t="s">
        <v>35</v>
      </c>
      <c r="K63">
        <v>6</v>
      </c>
      <c r="L63">
        <v>1</v>
      </c>
      <c r="M63">
        <v>61</v>
      </c>
      <c r="N63">
        <v>3</v>
      </c>
      <c r="O63">
        <v>238.045625099999</v>
      </c>
      <c r="Q63">
        <v>238.03412199998201</v>
      </c>
      <c r="R63">
        <v>238.045625099999</v>
      </c>
      <c r="S63">
        <v>239.045361600001</v>
      </c>
      <c r="T63">
        <v>239.045361600001</v>
      </c>
      <c r="U63">
        <v>239.045361600001</v>
      </c>
      <c r="V63">
        <v>239.82993479998501</v>
      </c>
      <c r="W63" t="s">
        <v>41</v>
      </c>
      <c r="X63">
        <v>0.77768070000456602</v>
      </c>
      <c r="Y63" t="s">
        <v>35</v>
      </c>
      <c r="Z63">
        <v>6</v>
      </c>
      <c r="AA63">
        <v>1</v>
      </c>
      <c r="AB63" t="s">
        <v>36</v>
      </c>
      <c r="AC63" t="s">
        <v>37</v>
      </c>
      <c r="AE63" t="s">
        <v>38</v>
      </c>
      <c r="AF63">
        <v>59.781188893065199</v>
      </c>
      <c r="AG63" t="s">
        <v>39</v>
      </c>
    </row>
    <row r="64" spans="1:33" x14ac:dyDescent="0.35">
      <c r="A64" t="s">
        <v>40</v>
      </c>
      <c r="B64">
        <v>4700</v>
      </c>
      <c r="C64">
        <v>10000</v>
      </c>
      <c r="D64">
        <v>28</v>
      </c>
      <c r="E64">
        <v>62</v>
      </c>
      <c r="F64">
        <v>2</v>
      </c>
      <c r="G64">
        <v>6</v>
      </c>
      <c r="H64" t="s">
        <v>41</v>
      </c>
      <c r="I64">
        <v>0.66597750000073497</v>
      </c>
      <c r="J64" t="s">
        <v>35</v>
      </c>
      <c r="K64">
        <v>6</v>
      </c>
      <c r="L64">
        <v>2</v>
      </c>
      <c r="M64">
        <v>62</v>
      </c>
      <c r="N64">
        <v>1</v>
      </c>
      <c r="O64">
        <v>239.84578219999</v>
      </c>
      <c r="Q64">
        <v>239.835530699987</v>
      </c>
      <c r="R64">
        <v>239.84578219999</v>
      </c>
      <c r="S64">
        <v>240.829835399985</v>
      </c>
      <c r="T64">
        <v>240.829835399985</v>
      </c>
      <c r="U64">
        <v>240.846268199995</v>
      </c>
      <c r="V64">
        <v>241.49675190000499</v>
      </c>
      <c r="W64" t="s">
        <v>41</v>
      </c>
      <c r="X64">
        <v>0.66597750000073497</v>
      </c>
      <c r="Y64" t="s">
        <v>35</v>
      </c>
      <c r="Z64">
        <v>6</v>
      </c>
      <c r="AA64">
        <v>1</v>
      </c>
      <c r="AB64" t="s">
        <v>36</v>
      </c>
      <c r="AC64" t="s">
        <v>37</v>
      </c>
      <c r="AE64" t="s">
        <v>38</v>
      </c>
      <c r="AF64">
        <v>59.781188893065199</v>
      </c>
      <c r="AG64" t="s">
        <v>39</v>
      </c>
    </row>
    <row r="65" spans="1:33" x14ac:dyDescent="0.35">
      <c r="A65" t="s">
        <v>33</v>
      </c>
      <c r="B65">
        <v>3500</v>
      </c>
      <c r="C65">
        <v>5000</v>
      </c>
      <c r="D65">
        <v>40</v>
      </c>
      <c r="E65">
        <v>63</v>
      </c>
      <c r="F65">
        <v>3</v>
      </c>
      <c r="G65">
        <v>6</v>
      </c>
      <c r="H65" t="s">
        <v>34</v>
      </c>
      <c r="I65">
        <v>0.70961920000263401</v>
      </c>
      <c r="J65" t="s">
        <v>35</v>
      </c>
      <c r="K65">
        <v>6</v>
      </c>
      <c r="L65">
        <v>3</v>
      </c>
      <c r="M65">
        <v>63</v>
      </c>
      <c r="N65">
        <v>6</v>
      </c>
      <c r="O65">
        <v>241.51248969999099</v>
      </c>
      <c r="Q65">
        <v>241.502469800005</v>
      </c>
      <c r="R65">
        <v>241.51248969999099</v>
      </c>
      <c r="S65">
        <v>242.49689629999901</v>
      </c>
      <c r="T65">
        <v>242.49689629999901</v>
      </c>
      <c r="U65">
        <v>242.51320320001099</v>
      </c>
      <c r="V65">
        <v>243.213933099992</v>
      </c>
      <c r="W65" t="s">
        <v>34</v>
      </c>
      <c r="X65">
        <v>0.70961920000263401</v>
      </c>
      <c r="Y65" t="s">
        <v>35</v>
      </c>
      <c r="Z65">
        <v>6</v>
      </c>
      <c r="AA65">
        <v>1</v>
      </c>
      <c r="AB65" t="s">
        <v>36</v>
      </c>
      <c r="AC65" t="s">
        <v>37</v>
      </c>
      <c r="AE65" t="s">
        <v>38</v>
      </c>
      <c r="AF65">
        <v>59.781188893065199</v>
      </c>
      <c r="AG65" t="s">
        <v>39</v>
      </c>
    </row>
    <row r="66" spans="1:33" x14ac:dyDescent="0.35">
      <c r="A66" t="s">
        <v>33</v>
      </c>
      <c r="B66">
        <v>6000</v>
      </c>
      <c r="C66">
        <v>8500</v>
      </c>
      <c r="D66">
        <v>20</v>
      </c>
      <c r="E66">
        <v>64</v>
      </c>
      <c r="F66">
        <v>4</v>
      </c>
      <c r="G66">
        <v>6</v>
      </c>
      <c r="H66" t="s">
        <v>34</v>
      </c>
      <c r="I66">
        <v>0.838207699998747</v>
      </c>
      <c r="J66" t="s">
        <v>35</v>
      </c>
      <c r="K66">
        <v>6</v>
      </c>
      <c r="L66">
        <v>4</v>
      </c>
      <c r="M66">
        <v>64</v>
      </c>
      <c r="N66">
        <v>2</v>
      </c>
      <c r="O66">
        <v>243.22973550000401</v>
      </c>
      <c r="Q66">
        <v>243.21961619998899</v>
      </c>
      <c r="R66">
        <v>243.22973550000401</v>
      </c>
      <c r="S66">
        <v>244.21388309999</v>
      </c>
      <c r="T66">
        <v>244.21388309999</v>
      </c>
      <c r="U66">
        <v>244.23065919999499</v>
      </c>
      <c r="V66">
        <v>245.064581099984</v>
      </c>
      <c r="W66" t="s">
        <v>34</v>
      </c>
      <c r="X66">
        <v>0.838207699998747</v>
      </c>
      <c r="Y66" t="s">
        <v>35</v>
      </c>
      <c r="Z66">
        <v>6</v>
      </c>
      <c r="AA66">
        <v>1</v>
      </c>
      <c r="AB66" t="s">
        <v>36</v>
      </c>
      <c r="AC66" t="s">
        <v>37</v>
      </c>
      <c r="AE66" t="s">
        <v>38</v>
      </c>
      <c r="AF66">
        <v>59.781188893065199</v>
      </c>
      <c r="AG66" t="s">
        <v>39</v>
      </c>
    </row>
    <row r="67" spans="1:33" x14ac:dyDescent="0.35">
      <c r="A67" t="s">
        <v>40</v>
      </c>
      <c r="B67">
        <v>5000</v>
      </c>
      <c r="C67">
        <v>6500</v>
      </c>
      <c r="D67">
        <v>30</v>
      </c>
      <c r="E67">
        <v>65</v>
      </c>
      <c r="F67">
        <v>5</v>
      </c>
      <c r="G67">
        <v>6</v>
      </c>
      <c r="H67" t="s">
        <v>41</v>
      </c>
      <c r="I67">
        <v>1.0271720999735401</v>
      </c>
      <c r="J67" t="s">
        <v>35</v>
      </c>
      <c r="K67">
        <v>6</v>
      </c>
      <c r="L67">
        <v>5</v>
      </c>
      <c r="M67">
        <v>65</v>
      </c>
      <c r="N67">
        <v>0</v>
      </c>
      <c r="O67">
        <v>245.08004649999199</v>
      </c>
      <c r="Q67">
        <v>245.071208399982</v>
      </c>
      <c r="R67">
        <v>245.08004649999199</v>
      </c>
      <c r="S67">
        <v>246.063881899986</v>
      </c>
      <c r="T67">
        <v>246.063881899986</v>
      </c>
      <c r="U67">
        <v>246.080863399984</v>
      </c>
      <c r="V67">
        <v>247.09856819998799</v>
      </c>
      <c r="W67" t="s">
        <v>41</v>
      </c>
      <c r="X67">
        <v>1.0271720999735401</v>
      </c>
      <c r="Y67" t="s">
        <v>35</v>
      </c>
      <c r="Z67">
        <v>6</v>
      </c>
      <c r="AA67">
        <v>1</v>
      </c>
      <c r="AB67" t="s">
        <v>36</v>
      </c>
      <c r="AC67" t="s">
        <v>37</v>
      </c>
      <c r="AE67" t="s">
        <v>38</v>
      </c>
      <c r="AF67">
        <v>59.781188893065199</v>
      </c>
      <c r="AG67" t="s">
        <v>39</v>
      </c>
    </row>
    <row r="68" spans="1:33" x14ac:dyDescent="0.35">
      <c r="A68" t="s">
        <v>40</v>
      </c>
      <c r="B68">
        <v>2000</v>
      </c>
      <c r="C68">
        <v>3500</v>
      </c>
      <c r="D68">
        <v>25</v>
      </c>
      <c r="E68">
        <v>66</v>
      </c>
      <c r="F68">
        <v>6</v>
      </c>
      <c r="G68">
        <v>6</v>
      </c>
      <c r="H68" t="s">
        <v>41</v>
      </c>
      <c r="I68">
        <v>1.05484939998132</v>
      </c>
      <c r="J68" t="s">
        <v>35</v>
      </c>
      <c r="K68">
        <v>6</v>
      </c>
      <c r="L68">
        <v>6</v>
      </c>
      <c r="M68">
        <v>66</v>
      </c>
      <c r="N68">
        <v>4</v>
      </c>
      <c r="O68">
        <v>247.11376459998399</v>
      </c>
      <c r="Q68">
        <v>247.10459040000501</v>
      </c>
      <c r="R68">
        <v>247.11376459998399</v>
      </c>
      <c r="S68">
        <v>248.113907899998</v>
      </c>
      <c r="T68">
        <v>248.113907899998</v>
      </c>
      <c r="U68">
        <v>248.113907899998</v>
      </c>
      <c r="V68">
        <v>249.18133940000499</v>
      </c>
      <c r="W68" t="s">
        <v>41</v>
      </c>
      <c r="X68">
        <v>1.05484939998132</v>
      </c>
      <c r="Y68" t="s">
        <v>35</v>
      </c>
      <c r="Z68">
        <v>6</v>
      </c>
      <c r="AA68">
        <v>1</v>
      </c>
      <c r="AB68" t="s">
        <v>36</v>
      </c>
      <c r="AC68" t="s">
        <v>37</v>
      </c>
      <c r="AE68" t="s">
        <v>38</v>
      </c>
      <c r="AF68">
        <v>59.781188893065199</v>
      </c>
      <c r="AG68" t="s">
        <v>39</v>
      </c>
    </row>
    <row r="69" spans="1:33" x14ac:dyDescent="0.35">
      <c r="A69" t="s">
        <v>33</v>
      </c>
      <c r="B69">
        <v>4500</v>
      </c>
      <c r="C69">
        <v>5000</v>
      </c>
      <c r="D69">
        <v>35</v>
      </c>
      <c r="E69">
        <v>67</v>
      </c>
      <c r="F69">
        <v>7</v>
      </c>
      <c r="G69">
        <v>6</v>
      </c>
      <c r="H69" t="s">
        <v>34</v>
      </c>
      <c r="I69">
        <v>1.47443829997791</v>
      </c>
      <c r="J69" t="s">
        <v>35</v>
      </c>
      <c r="K69">
        <v>6</v>
      </c>
      <c r="L69">
        <v>7</v>
      </c>
      <c r="M69">
        <v>67</v>
      </c>
      <c r="N69">
        <v>9</v>
      </c>
      <c r="O69">
        <v>249.19751619998701</v>
      </c>
      <c r="Q69">
        <v>249.18701069999901</v>
      </c>
      <c r="R69">
        <v>249.19751619998701</v>
      </c>
      <c r="S69">
        <v>250.181050499988</v>
      </c>
      <c r="T69">
        <v>250.181050499988</v>
      </c>
      <c r="U69">
        <v>250.197686600004</v>
      </c>
      <c r="V69">
        <v>251.66616610001</v>
      </c>
      <c r="W69" t="s">
        <v>34</v>
      </c>
      <c r="X69">
        <v>1.47443829997791</v>
      </c>
      <c r="Y69" t="s">
        <v>35</v>
      </c>
      <c r="Z69">
        <v>6</v>
      </c>
      <c r="AA69">
        <v>1</v>
      </c>
      <c r="AB69" t="s">
        <v>36</v>
      </c>
      <c r="AC69" t="s">
        <v>37</v>
      </c>
      <c r="AE69" t="s">
        <v>38</v>
      </c>
      <c r="AF69">
        <v>59.781188893065199</v>
      </c>
      <c r="AG69" t="s">
        <v>39</v>
      </c>
    </row>
    <row r="70" spans="1:33" x14ac:dyDescent="0.35">
      <c r="A70" t="s">
        <v>33</v>
      </c>
      <c r="B70">
        <v>6000</v>
      </c>
      <c r="C70">
        <v>11000</v>
      </c>
      <c r="D70">
        <v>65</v>
      </c>
      <c r="E70">
        <v>68</v>
      </c>
      <c r="F70">
        <v>8</v>
      </c>
      <c r="G70">
        <v>6</v>
      </c>
      <c r="H70" t="s">
        <v>34</v>
      </c>
      <c r="I70">
        <v>0.50287269998807405</v>
      </c>
      <c r="J70" t="s">
        <v>35</v>
      </c>
      <c r="K70">
        <v>6</v>
      </c>
      <c r="L70">
        <v>8</v>
      </c>
      <c r="M70">
        <v>68</v>
      </c>
      <c r="N70">
        <v>7</v>
      </c>
      <c r="O70">
        <v>251.68128610000699</v>
      </c>
      <c r="Q70">
        <v>251.672528800001</v>
      </c>
      <c r="R70">
        <v>251.68128610000699</v>
      </c>
      <c r="S70">
        <v>252.681595400004</v>
      </c>
      <c r="T70">
        <v>252.681595400004</v>
      </c>
      <c r="U70">
        <v>252.681595400004</v>
      </c>
      <c r="V70">
        <v>253.19956559999201</v>
      </c>
      <c r="W70" t="s">
        <v>34</v>
      </c>
      <c r="X70">
        <v>0.50287269998807405</v>
      </c>
      <c r="Y70" t="s">
        <v>35</v>
      </c>
      <c r="Z70">
        <v>6</v>
      </c>
      <c r="AA70">
        <v>1</v>
      </c>
      <c r="AB70" t="s">
        <v>36</v>
      </c>
      <c r="AC70" t="s">
        <v>37</v>
      </c>
      <c r="AE70" t="s">
        <v>38</v>
      </c>
      <c r="AF70">
        <v>59.781188893065199</v>
      </c>
      <c r="AG70" t="s">
        <v>39</v>
      </c>
    </row>
    <row r="71" spans="1:33" x14ac:dyDescent="0.35">
      <c r="A71" t="s">
        <v>40</v>
      </c>
      <c r="B71">
        <v>8000</v>
      </c>
      <c r="C71">
        <v>10500</v>
      </c>
      <c r="D71">
        <v>20</v>
      </c>
      <c r="E71">
        <v>69</v>
      </c>
      <c r="F71">
        <v>9</v>
      </c>
      <c r="G71">
        <v>6</v>
      </c>
      <c r="H71" t="s">
        <v>41</v>
      </c>
      <c r="I71">
        <v>0.83813710001413699</v>
      </c>
      <c r="J71" t="s">
        <v>35</v>
      </c>
      <c r="K71">
        <v>6</v>
      </c>
      <c r="L71">
        <v>9</v>
      </c>
      <c r="M71">
        <v>69</v>
      </c>
      <c r="N71">
        <v>8</v>
      </c>
      <c r="O71">
        <v>253.21476319999701</v>
      </c>
      <c r="Q71">
        <v>253.20708409999401</v>
      </c>
      <c r="R71">
        <v>253.21476319999701</v>
      </c>
      <c r="S71">
        <v>254.21525569999301</v>
      </c>
      <c r="T71">
        <v>254.21525569999301</v>
      </c>
      <c r="U71">
        <v>254.21525569999301</v>
      </c>
      <c r="V71">
        <v>255.06587809999399</v>
      </c>
      <c r="W71" t="s">
        <v>41</v>
      </c>
      <c r="X71">
        <v>0.83813710001413699</v>
      </c>
      <c r="Y71" t="s">
        <v>35</v>
      </c>
      <c r="Z71">
        <v>6</v>
      </c>
      <c r="AA71">
        <v>1</v>
      </c>
      <c r="AB71" t="s">
        <v>36</v>
      </c>
      <c r="AC71" t="s">
        <v>37</v>
      </c>
      <c r="AE71" t="s">
        <v>38</v>
      </c>
      <c r="AF71">
        <v>59.781188893065199</v>
      </c>
      <c r="AG71" t="s">
        <v>39</v>
      </c>
    </row>
    <row r="72" spans="1:33" x14ac:dyDescent="0.35">
      <c r="A72" t="s">
        <v>40</v>
      </c>
      <c r="B72">
        <v>5000</v>
      </c>
      <c r="C72">
        <v>6500</v>
      </c>
      <c r="D72">
        <v>30</v>
      </c>
      <c r="E72">
        <v>70</v>
      </c>
      <c r="F72">
        <v>0</v>
      </c>
      <c r="G72">
        <v>7</v>
      </c>
      <c r="H72" t="s">
        <v>41</v>
      </c>
      <c r="I72">
        <v>0.60399679999682099</v>
      </c>
      <c r="J72" t="s">
        <v>35</v>
      </c>
      <c r="K72">
        <v>7</v>
      </c>
      <c r="L72">
        <v>0</v>
      </c>
      <c r="M72">
        <v>70</v>
      </c>
      <c r="N72">
        <v>0</v>
      </c>
      <c r="O72">
        <v>255.08197150001001</v>
      </c>
      <c r="Q72">
        <v>255.07070380000999</v>
      </c>
      <c r="R72">
        <v>255.08197150001001</v>
      </c>
      <c r="S72">
        <v>256.06538119999402</v>
      </c>
      <c r="T72">
        <v>256.06538119999402</v>
      </c>
      <c r="U72">
        <v>256.08207470001003</v>
      </c>
      <c r="V72">
        <v>256.6834983</v>
      </c>
      <c r="W72" t="s">
        <v>41</v>
      </c>
      <c r="X72">
        <v>0.60399679999682099</v>
      </c>
      <c r="Y72" t="s">
        <v>35</v>
      </c>
      <c r="Z72">
        <v>6</v>
      </c>
      <c r="AA72">
        <v>1</v>
      </c>
      <c r="AB72" t="s">
        <v>36</v>
      </c>
      <c r="AC72" t="s">
        <v>37</v>
      </c>
      <c r="AE72" t="s">
        <v>38</v>
      </c>
      <c r="AF72">
        <v>59.781188893065199</v>
      </c>
      <c r="AG72" t="s">
        <v>39</v>
      </c>
    </row>
    <row r="73" spans="1:33" x14ac:dyDescent="0.35">
      <c r="A73" t="s">
        <v>40</v>
      </c>
      <c r="B73">
        <v>2000</v>
      </c>
      <c r="C73">
        <v>3500</v>
      </c>
      <c r="D73">
        <v>25</v>
      </c>
      <c r="E73">
        <v>71</v>
      </c>
      <c r="F73">
        <v>1</v>
      </c>
      <c r="G73">
        <v>7</v>
      </c>
      <c r="H73" t="s">
        <v>41</v>
      </c>
      <c r="I73">
        <v>0.72784619999583799</v>
      </c>
      <c r="J73" t="s">
        <v>35</v>
      </c>
      <c r="K73">
        <v>7</v>
      </c>
      <c r="L73">
        <v>1</v>
      </c>
      <c r="M73">
        <v>71</v>
      </c>
      <c r="N73">
        <v>4</v>
      </c>
      <c r="O73">
        <v>256.69881199998702</v>
      </c>
      <c r="Q73">
        <v>256.69061679998401</v>
      </c>
      <c r="R73">
        <v>256.69881199998702</v>
      </c>
      <c r="S73">
        <v>257.69927889999201</v>
      </c>
      <c r="T73">
        <v>257.69927889999201</v>
      </c>
      <c r="U73">
        <v>257.69927889999201</v>
      </c>
      <c r="V73">
        <v>258.43338509998199</v>
      </c>
      <c r="W73" t="s">
        <v>41</v>
      </c>
      <c r="X73">
        <v>0.72784619999583799</v>
      </c>
      <c r="Y73" t="s">
        <v>35</v>
      </c>
      <c r="Z73">
        <v>6</v>
      </c>
      <c r="AA73">
        <v>1</v>
      </c>
      <c r="AB73" t="s">
        <v>36</v>
      </c>
      <c r="AC73" t="s">
        <v>37</v>
      </c>
      <c r="AE73" t="s">
        <v>38</v>
      </c>
      <c r="AF73">
        <v>59.781188893065199</v>
      </c>
      <c r="AG73" t="s">
        <v>39</v>
      </c>
    </row>
    <row r="74" spans="1:33" x14ac:dyDescent="0.35">
      <c r="A74" t="s">
        <v>33</v>
      </c>
      <c r="B74">
        <v>3500</v>
      </c>
      <c r="C74">
        <v>7000</v>
      </c>
      <c r="D74">
        <v>30</v>
      </c>
      <c r="E74">
        <v>72</v>
      </c>
      <c r="F74">
        <v>2</v>
      </c>
      <c r="G74">
        <v>7</v>
      </c>
      <c r="H74" t="s">
        <v>34</v>
      </c>
      <c r="I74">
        <v>0.86563910002587297</v>
      </c>
      <c r="J74" t="s">
        <v>35</v>
      </c>
      <c r="K74">
        <v>7</v>
      </c>
      <c r="L74">
        <v>2</v>
      </c>
      <c r="M74">
        <v>72</v>
      </c>
      <c r="N74">
        <v>3</v>
      </c>
      <c r="O74">
        <v>258.44901209999801</v>
      </c>
      <c r="Q74">
        <v>258.43943359999599</v>
      </c>
      <c r="R74">
        <v>258.44901209999801</v>
      </c>
      <c r="S74">
        <v>259.43276759999497</v>
      </c>
      <c r="T74">
        <v>259.43276759999497</v>
      </c>
      <c r="U74">
        <v>259.44943469998498</v>
      </c>
      <c r="V74">
        <v>260.30088570000902</v>
      </c>
      <c r="W74" t="s">
        <v>34</v>
      </c>
      <c r="X74">
        <v>0.86563910002587297</v>
      </c>
      <c r="Y74" t="s">
        <v>35</v>
      </c>
      <c r="Z74">
        <v>6</v>
      </c>
      <c r="AA74">
        <v>1</v>
      </c>
      <c r="AB74" t="s">
        <v>36</v>
      </c>
      <c r="AC74" t="s">
        <v>37</v>
      </c>
      <c r="AE74" t="s">
        <v>38</v>
      </c>
      <c r="AF74">
        <v>59.781188893065199</v>
      </c>
      <c r="AG74" t="s">
        <v>39</v>
      </c>
    </row>
    <row r="75" spans="1:33" x14ac:dyDescent="0.35">
      <c r="A75" t="s">
        <v>40</v>
      </c>
      <c r="B75">
        <v>6700</v>
      </c>
      <c r="C75">
        <v>11000</v>
      </c>
      <c r="D75">
        <v>50</v>
      </c>
      <c r="E75">
        <v>73</v>
      </c>
      <c r="F75">
        <v>3</v>
      </c>
      <c r="G75">
        <v>7</v>
      </c>
      <c r="H75" t="s">
        <v>41</v>
      </c>
      <c r="I75">
        <v>1.0323351999977599</v>
      </c>
      <c r="J75" t="s">
        <v>35</v>
      </c>
      <c r="K75">
        <v>7</v>
      </c>
      <c r="L75">
        <v>3</v>
      </c>
      <c r="M75">
        <v>73</v>
      </c>
      <c r="N75">
        <v>5</v>
      </c>
      <c r="O75">
        <v>260.31662450000198</v>
      </c>
      <c r="Q75">
        <v>260.30746469998797</v>
      </c>
      <c r="R75">
        <v>260.31662450000198</v>
      </c>
      <c r="S75">
        <v>261.31658240000201</v>
      </c>
      <c r="T75">
        <v>261.31658240000201</v>
      </c>
      <c r="U75">
        <v>261.31658240000201</v>
      </c>
      <c r="V75">
        <v>262.35092920000898</v>
      </c>
      <c r="W75" t="s">
        <v>41</v>
      </c>
      <c r="X75">
        <v>1.0323351999977599</v>
      </c>
      <c r="Y75" t="s">
        <v>35</v>
      </c>
      <c r="Z75">
        <v>6</v>
      </c>
      <c r="AA75">
        <v>1</v>
      </c>
      <c r="AB75" t="s">
        <v>36</v>
      </c>
      <c r="AC75" t="s">
        <v>37</v>
      </c>
      <c r="AE75" t="s">
        <v>38</v>
      </c>
      <c r="AF75">
        <v>59.781188893065199</v>
      </c>
      <c r="AG75" t="s">
        <v>39</v>
      </c>
    </row>
    <row r="76" spans="1:33" x14ac:dyDescent="0.35">
      <c r="A76" t="s">
        <v>40</v>
      </c>
      <c r="B76">
        <v>8000</v>
      </c>
      <c r="C76">
        <v>10500</v>
      </c>
      <c r="D76">
        <v>20</v>
      </c>
      <c r="E76">
        <v>74</v>
      </c>
      <c r="F76">
        <v>4</v>
      </c>
      <c r="G76">
        <v>7</v>
      </c>
      <c r="H76" t="s">
        <v>41</v>
      </c>
      <c r="I76">
        <v>0.37233790001482697</v>
      </c>
      <c r="J76" t="s">
        <v>35</v>
      </c>
      <c r="K76">
        <v>7</v>
      </c>
      <c r="L76">
        <v>4</v>
      </c>
      <c r="M76">
        <v>74</v>
      </c>
      <c r="N76">
        <v>8</v>
      </c>
      <c r="O76">
        <v>262.36645259999199</v>
      </c>
      <c r="Q76">
        <v>262.35662040000898</v>
      </c>
      <c r="R76">
        <v>262.36645259999199</v>
      </c>
      <c r="S76">
        <v>263.36664279998502</v>
      </c>
      <c r="T76">
        <v>263.36664279998502</v>
      </c>
      <c r="U76">
        <v>263.36664279998502</v>
      </c>
      <c r="V76">
        <v>263.75168069999199</v>
      </c>
      <c r="W76" t="s">
        <v>41</v>
      </c>
      <c r="X76">
        <v>0.37233790001482697</v>
      </c>
      <c r="Y76" t="s">
        <v>35</v>
      </c>
      <c r="Z76">
        <v>6</v>
      </c>
      <c r="AA76">
        <v>1</v>
      </c>
      <c r="AB76" t="s">
        <v>36</v>
      </c>
      <c r="AC76" t="s">
        <v>37</v>
      </c>
      <c r="AE76" t="s">
        <v>38</v>
      </c>
      <c r="AF76">
        <v>59.781188893065199</v>
      </c>
      <c r="AG76" t="s">
        <v>39</v>
      </c>
    </row>
    <row r="77" spans="1:33" x14ac:dyDescent="0.35">
      <c r="A77" t="s">
        <v>40</v>
      </c>
      <c r="B77">
        <v>4700</v>
      </c>
      <c r="C77">
        <v>10000</v>
      </c>
      <c r="D77">
        <v>28</v>
      </c>
      <c r="E77">
        <v>75</v>
      </c>
      <c r="F77">
        <v>5</v>
      </c>
      <c r="G77">
        <v>7</v>
      </c>
      <c r="H77" t="s">
        <v>41</v>
      </c>
      <c r="I77">
        <v>0.40257110001402902</v>
      </c>
      <c r="J77" t="s">
        <v>35</v>
      </c>
      <c r="K77">
        <v>7</v>
      </c>
      <c r="L77">
        <v>5</v>
      </c>
      <c r="M77">
        <v>75</v>
      </c>
      <c r="N77">
        <v>1</v>
      </c>
      <c r="O77">
        <v>263.76681060000499</v>
      </c>
      <c r="Q77">
        <v>263.75834589998698</v>
      </c>
      <c r="R77">
        <v>263.76681060000499</v>
      </c>
      <c r="S77">
        <v>264.76696350000498</v>
      </c>
      <c r="T77">
        <v>264.76696350000498</v>
      </c>
      <c r="U77">
        <v>264.76696350000498</v>
      </c>
      <c r="V77">
        <v>265.18498869999797</v>
      </c>
      <c r="W77" t="s">
        <v>41</v>
      </c>
      <c r="X77">
        <v>0.40257110001402902</v>
      </c>
      <c r="Y77" t="s">
        <v>35</v>
      </c>
      <c r="Z77">
        <v>6</v>
      </c>
      <c r="AA77">
        <v>1</v>
      </c>
      <c r="AB77" t="s">
        <v>36</v>
      </c>
      <c r="AC77" t="s">
        <v>37</v>
      </c>
      <c r="AE77" t="s">
        <v>38</v>
      </c>
      <c r="AF77">
        <v>59.781188893065199</v>
      </c>
      <c r="AG77" t="s">
        <v>39</v>
      </c>
    </row>
    <row r="78" spans="1:33" x14ac:dyDescent="0.35">
      <c r="A78" t="s">
        <v>33</v>
      </c>
      <c r="B78">
        <v>6000</v>
      </c>
      <c r="C78">
        <v>11000</v>
      </c>
      <c r="D78">
        <v>65</v>
      </c>
      <c r="E78">
        <v>76</v>
      </c>
      <c r="F78">
        <v>6</v>
      </c>
      <c r="G78">
        <v>7</v>
      </c>
      <c r="H78" t="s">
        <v>41</v>
      </c>
      <c r="I78">
        <v>0.33456510002724799</v>
      </c>
      <c r="J78" t="s">
        <v>35</v>
      </c>
      <c r="K78">
        <v>7</v>
      </c>
      <c r="L78">
        <v>6</v>
      </c>
      <c r="M78">
        <v>76</v>
      </c>
      <c r="N78">
        <v>7</v>
      </c>
      <c r="O78">
        <v>265.20040199998698</v>
      </c>
      <c r="Q78">
        <v>265.19181759998901</v>
      </c>
      <c r="R78">
        <v>265.20040199998698</v>
      </c>
      <c r="S78">
        <v>266.18414110000498</v>
      </c>
      <c r="T78">
        <v>266.18414110000498</v>
      </c>
      <c r="U78">
        <v>266.20058489998303</v>
      </c>
      <c r="V78">
        <v>266.53477599998502</v>
      </c>
      <c r="W78" t="s">
        <v>41</v>
      </c>
      <c r="X78">
        <v>0.33456510002724799</v>
      </c>
      <c r="Y78" t="s">
        <v>35</v>
      </c>
      <c r="Z78">
        <v>6</v>
      </c>
      <c r="AA78">
        <v>1</v>
      </c>
      <c r="AB78" t="s">
        <v>36</v>
      </c>
      <c r="AC78" t="s">
        <v>37</v>
      </c>
      <c r="AE78" t="s">
        <v>38</v>
      </c>
      <c r="AF78">
        <v>59.781188893065199</v>
      </c>
      <c r="AG78" t="s">
        <v>39</v>
      </c>
    </row>
    <row r="79" spans="1:33" x14ac:dyDescent="0.35">
      <c r="A79" t="s">
        <v>33</v>
      </c>
      <c r="B79">
        <v>4500</v>
      </c>
      <c r="C79">
        <v>5000</v>
      </c>
      <c r="D79">
        <v>35</v>
      </c>
      <c r="E79">
        <v>77</v>
      </c>
      <c r="F79">
        <v>7</v>
      </c>
      <c r="G79">
        <v>7</v>
      </c>
      <c r="H79" t="s">
        <v>34</v>
      </c>
      <c r="I79">
        <v>0.46499619999667602</v>
      </c>
      <c r="J79" t="s">
        <v>35</v>
      </c>
      <c r="K79">
        <v>7</v>
      </c>
      <c r="L79">
        <v>7</v>
      </c>
      <c r="M79">
        <v>77</v>
      </c>
      <c r="N79">
        <v>9</v>
      </c>
      <c r="O79">
        <v>266.55072800000198</v>
      </c>
      <c r="Q79">
        <v>266.54082930000698</v>
      </c>
      <c r="R79">
        <v>266.55072800000198</v>
      </c>
      <c r="S79">
        <v>267.53417329999502</v>
      </c>
      <c r="T79">
        <v>267.53417329999502</v>
      </c>
      <c r="U79">
        <v>267.55121959999002</v>
      </c>
      <c r="V79">
        <v>268.00161750000501</v>
      </c>
      <c r="W79" t="s">
        <v>34</v>
      </c>
      <c r="X79">
        <v>0.46499619999667602</v>
      </c>
      <c r="Y79" t="s">
        <v>35</v>
      </c>
      <c r="Z79">
        <v>6</v>
      </c>
      <c r="AA79">
        <v>1</v>
      </c>
      <c r="AB79" t="s">
        <v>36</v>
      </c>
      <c r="AC79" t="s">
        <v>37</v>
      </c>
      <c r="AE79" t="s">
        <v>38</v>
      </c>
      <c r="AF79">
        <v>59.781188893065199</v>
      </c>
      <c r="AG79" t="s">
        <v>39</v>
      </c>
    </row>
    <row r="80" spans="1:33" x14ac:dyDescent="0.35">
      <c r="A80" t="s">
        <v>33</v>
      </c>
      <c r="B80">
        <v>6000</v>
      </c>
      <c r="C80">
        <v>8500</v>
      </c>
      <c r="D80">
        <v>20</v>
      </c>
      <c r="E80">
        <v>78</v>
      </c>
      <c r="F80">
        <v>8</v>
      </c>
      <c r="G80">
        <v>7</v>
      </c>
      <c r="H80" t="s">
        <v>34</v>
      </c>
      <c r="I80">
        <v>0.33285499998601098</v>
      </c>
      <c r="J80" t="s">
        <v>35</v>
      </c>
      <c r="K80">
        <v>7</v>
      </c>
      <c r="L80">
        <v>8</v>
      </c>
      <c r="M80">
        <v>78</v>
      </c>
      <c r="N80">
        <v>2</v>
      </c>
      <c r="O80">
        <v>268.017351299989</v>
      </c>
      <c r="Q80">
        <v>268.00776609999502</v>
      </c>
      <c r="R80">
        <v>268.017351299989</v>
      </c>
      <c r="S80">
        <v>269.00118639998198</v>
      </c>
      <c r="T80">
        <v>269.00118639998198</v>
      </c>
      <c r="U80">
        <v>269.01783029999899</v>
      </c>
      <c r="V80">
        <v>269.33573130000099</v>
      </c>
      <c r="W80" t="s">
        <v>34</v>
      </c>
      <c r="X80">
        <v>0.33285499998601098</v>
      </c>
      <c r="Y80" t="s">
        <v>35</v>
      </c>
      <c r="Z80">
        <v>6</v>
      </c>
      <c r="AA80">
        <v>1</v>
      </c>
      <c r="AB80" t="s">
        <v>36</v>
      </c>
      <c r="AC80" t="s">
        <v>37</v>
      </c>
      <c r="AE80" t="s">
        <v>38</v>
      </c>
      <c r="AF80">
        <v>59.781188893065199</v>
      </c>
      <c r="AG80" t="s">
        <v>39</v>
      </c>
    </row>
    <row r="81" spans="1:33" x14ac:dyDescent="0.35">
      <c r="A81" t="s">
        <v>33</v>
      </c>
      <c r="B81">
        <v>3500</v>
      </c>
      <c r="C81">
        <v>5000</v>
      </c>
      <c r="D81">
        <v>40</v>
      </c>
      <c r="E81">
        <v>79</v>
      </c>
      <c r="F81">
        <v>9</v>
      </c>
      <c r="G81">
        <v>7</v>
      </c>
      <c r="H81" t="s">
        <v>34</v>
      </c>
      <c r="I81">
        <v>0.39611440000589898</v>
      </c>
      <c r="J81" t="s">
        <v>35</v>
      </c>
      <c r="K81">
        <v>7</v>
      </c>
      <c r="L81">
        <v>9</v>
      </c>
      <c r="M81">
        <v>79</v>
      </c>
      <c r="N81">
        <v>6</v>
      </c>
      <c r="O81">
        <v>269.35132570000098</v>
      </c>
      <c r="Q81">
        <v>269.34163479998801</v>
      </c>
      <c r="R81">
        <v>269.35132570000098</v>
      </c>
      <c r="S81">
        <v>270.351502200006</v>
      </c>
      <c r="T81">
        <v>270.351502200006</v>
      </c>
      <c r="U81">
        <v>270.351502200006</v>
      </c>
      <c r="V81">
        <v>270.75185080000603</v>
      </c>
      <c r="W81" t="s">
        <v>34</v>
      </c>
      <c r="X81">
        <v>0.39611440000589898</v>
      </c>
      <c r="Y81" t="s">
        <v>35</v>
      </c>
      <c r="Z81">
        <v>6</v>
      </c>
      <c r="AA81">
        <v>1</v>
      </c>
      <c r="AB81" t="s">
        <v>36</v>
      </c>
      <c r="AC81" t="s">
        <v>37</v>
      </c>
      <c r="AE81" t="s">
        <v>38</v>
      </c>
      <c r="AF81">
        <v>59.781188893065199</v>
      </c>
      <c r="AG81" t="s">
        <v>39</v>
      </c>
    </row>
    <row r="82" spans="1:33" x14ac:dyDescent="0.35">
      <c r="A82" t="s">
        <v>40</v>
      </c>
      <c r="B82">
        <v>5000</v>
      </c>
      <c r="C82">
        <v>6500</v>
      </c>
      <c r="D82">
        <v>30</v>
      </c>
      <c r="E82">
        <v>80</v>
      </c>
      <c r="F82">
        <v>0</v>
      </c>
      <c r="G82">
        <v>8</v>
      </c>
      <c r="H82" t="s">
        <v>41</v>
      </c>
      <c r="I82">
        <v>0.79639609999139704</v>
      </c>
      <c r="J82" t="s">
        <v>35</v>
      </c>
      <c r="K82">
        <v>8</v>
      </c>
      <c r="L82">
        <v>0</v>
      </c>
      <c r="M82">
        <v>80</v>
      </c>
      <c r="N82">
        <v>0</v>
      </c>
      <c r="O82">
        <v>270.76785309999798</v>
      </c>
      <c r="Q82">
        <v>270.75733089999898</v>
      </c>
      <c r="R82">
        <v>270.76785309999798</v>
      </c>
      <c r="S82">
        <v>271.75157279998501</v>
      </c>
      <c r="T82">
        <v>271.75157279998501</v>
      </c>
      <c r="U82">
        <v>271.76815329998499</v>
      </c>
      <c r="V82">
        <v>272.55195269998501</v>
      </c>
      <c r="W82" t="s">
        <v>41</v>
      </c>
      <c r="X82">
        <v>0.79639609999139704</v>
      </c>
      <c r="Y82" t="s">
        <v>35</v>
      </c>
      <c r="Z82">
        <v>6</v>
      </c>
      <c r="AA82">
        <v>1</v>
      </c>
      <c r="AB82" t="s">
        <v>36</v>
      </c>
      <c r="AC82" t="s">
        <v>37</v>
      </c>
      <c r="AE82" t="s">
        <v>38</v>
      </c>
      <c r="AF82">
        <v>59.781188893065199</v>
      </c>
      <c r="AG82" t="s">
        <v>39</v>
      </c>
    </row>
    <row r="83" spans="1:33" x14ac:dyDescent="0.35">
      <c r="A83" t="s">
        <v>40</v>
      </c>
      <c r="B83">
        <v>2000</v>
      </c>
      <c r="C83">
        <v>3500</v>
      </c>
      <c r="D83">
        <v>25</v>
      </c>
      <c r="E83">
        <v>81</v>
      </c>
      <c r="F83">
        <v>1</v>
      </c>
      <c r="G83">
        <v>8</v>
      </c>
      <c r="H83" t="s">
        <v>41</v>
      </c>
      <c r="I83">
        <v>0.69787299999734298</v>
      </c>
      <c r="J83" t="s">
        <v>35</v>
      </c>
      <c r="K83">
        <v>8</v>
      </c>
      <c r="L83">
        <v>1</v>
      </c>
      <c r="M83">
        <v>81</v>
      </c>
      <c r="N83">
        <v>4</v>
      </c>
      <c r="O83">
        <v>272.56834870000603</v>
      </c>
      <c r="Q83">
        <v>272.55666989999003</v>
      </c>
      <c r="R83">
        <v>272.56834870000603</v>
      </c>
      <c r="S83">
        <v>273.552235999988</v>
      </c>
      <c r="T83">
        <v>273.552235999988</v>
      </c>
      <c r="U83">
        <v>273.56852979998803</v>
      </c>
      <c r="V83">
        <v>274.25299069998403</v>
      </c>
      <c r="W83" t="s">
        <v>41</v>
      </c>
      <c r="X83">
        <v>0.69787299999734298</v>
      </c>
      <c r="Y83" t="s">
        <v>35</v>
      </c>
      <c r="Z83">
        <v>6</v>
      </c>
      <c r="AA83">
        <v>1</v>
      </c>
      <c r="AB83" t="s">
        <v>36</v>
      </c>
      <c r="AC83" t="s">
        <v>37</v>
      </c>
      <c r="AE83" t="s">
        <v>38</v>
      </c>
      <c r="AF83">
        <v>59.781188893065199</v>
      </c>
      <c r="AG83" t="s">
        <v>39</v>
      </c>
    </row>
    <row r="84" spans="1:33" x14ac:dyDescent="0.35">
      <c r="A84" t="s">
        <v>40</v>
      </c>
      <c r="B84">
        <v>4700</v>
      </c>
      <c r="C84">
        <v>10000</v>
      </c>
      <c r="D84">
        <v>28</v>
      </c>
      <c r="E84">
        <v>82</v>
      </c>
      <c r="F84">
        <v>2</v>
      </c>
      <c r="G84">
        <v>8</v>
      </c>
      <c r="H84" t="s">
        <v>41</v>
      </c>
      <c r="I84">
        <v>0.55611519998637904</v>
      </c>
      <c r="J84" t="s">
        <v>35</v>
      </c>
      <c r="K84">
        <v>8</v>
      </c>
      <c r="L84">
        <v>2</v>
      </c>
      <c r="M84">
        <v>82</v>
      </c>
      <c r="N84">
        <v>1</v>
      </c>
      <c r="O84">
        <v>274.26833839999699</v>
      </c>
      <c r="Q84">
        <v>274.25916960000097</v>
      </c>
      <c r="R84">
        <v>274.26833839999699</v>
      </c>
      <c r="S84">
        <v>275.252447200007</v>
      </c>
      <c r="T84">
        <v>275.252447200007</v>
      </c>
      <c r="U84">
        <v>275.268898499984</v>
      </c>
      <c r="V84">
        <v>275.82075849999001</v>
      </c>
      <c r="W84" t="s">
        <v>41</v>
      </c>
      <c r="X84">
        <v>0.55611519998637904</v>
      </c>
      <c r="Y84" t="s">
        <v>35</v>
      </c>
      <c r="Z84">
        <v>6</v>
      </c>
      <c r="AA84">
        <v>1</v>
      </c>
      <c r="AB84" t="s">
        <v>36</v>
      </c>
      <c r="AC84" t="s">
        <v>37</v>
      </c>
      <c r="AE84" t="s">
        <v>38</v>
      </c>
      <c r="AF84">
        <v>59.781188893065199</v>
      </c>
      <c r="AG84" t="s">
        <v>39</v>
      </c>
    </row>
    <row r="85" spans="1:33" x14ac:dyDescent="0.35">
      <c r="A85" t="s">
        <v>33</v>
      </c>
      <c r="B85">
        <v>3500</v>
      </c>
      <c r="C85">
        <v>5000</v>
      </c>
      <c r="D85">
        <v>40</v>
      </c>
      <c r="E85">
        <v>83</v>
      </c>
      <c r="F85">
        <v>3</v>
      </c>
      <c r="G85">
        <v>8</v>
      </c>
      <c r="H85" t="s">
        <v>34</v>
      </c>
      <c r="I85">
        <v>0.76356449999730103</v>
      </c>
      <c r="J85" t="s">
        <v>35</v>
      </c>
      <c r="K85">
        <v>8</v>
      </c>
      <c r="L85">
        <v>3</v>
      </c>
      <c r="M85">
        <v>83</v>
      </c>
      <c r="N85">
        <v>6</v>
      </c>
      <c r="O85">
        <v>275.83561819998403</v>
      </c>
      <c r="Q85">
        <v>275.828832700004</v>
      </c>
      <c r="R85">
        <v>275.83561819998403</v>
      </c>
      <c r="S85">
        <v>276.836173299991</v>
      </c>
      <c r="T85">
        <v>276.836173299991</v>
      </c>
      <c r="U85">
        <v>276.836173299991</v>
      </c>
      <c r="V85">
        <v>277.60355949998399</v>
      </c>
      <c r="W85" t="s">
        <v>34</v>
      </c>
      <c r="X85">
        <v>0.76356449999730103</v>
      </c>
      <c r="Y85" t="s">
        <v>35</v>
      </c>
      <c r="Z85">
        <v>6</v>
      </c>
      <c r="AA85">
        <v>1</v>
      </c>
      <c r="AB85" t="s">
        <v>36</v>
      </c>
      <c r="AC85" t="s">
        <v>37</v>
      </c>
      <c r="AE85" t="s">
        <v>38</v>
      </c>
      <c r="AF85">
        <v>59.781188893065199</v>
      </c>
      <c r="AG85" t="s">
        <v>39</v>
      </c>
    </row>
    <row r="86" spans="1:33" x14ac:dyDescent="0.35">
      <c r="A86" t="s">
        <v>40</v>
      </c>
      <c r="B86">
        <v>6700</v>
      </c>
      <c r="C86">
        <v>11000</v>
      </c>
      <c r="D86">
        <v>50</v>
      </c>
      <c r="E86">
        <v>84</v>
      </c>
      <c r="F86">
        <v>4</v>
      </c>
      <c r="G86">
        <v>8</v>
      </c>
      <c r="H86" t="s">
        <v>41</v>
      </c>
      <c r="I86">
        <v>0.68695829997886904</v>
      </c>
      <c r="J86" t="s">
        <v>35</v>
      </c>
      <c r="K86">
        <v>8</v>
      </c>
      <c r="L86">
        <v>4</v>
      </c>
      <c r="M86">
        <v>84</v>
      </c>
      <c r="N86">
        <v>5</v>
      </c>
      <c r="O86">
        <v>277.61915189999797</v>
      </c>
      <c r="Q86">
        <v>277.60931719999598</v>
      </c>
      <c r="R86">
        <v>277.61915189999797</v>
      </c>
      <c r="S86">
        <v>278.60282520000999</v>
      </c>
      <c r="T86">
        <v>278.60282520000999</v>
      </c>
      <c r="U86">
        <v>278.61934099998302</v>
      </c>
      <c r="V86">
        <v>279.30376959999501</v>
      </c>
      <c r="W86" t="s">
        <v>41</v>
      </c>
      <c r="X86">
        <v>0.68695829997886904</v>
      </c>
      <c r="Y86" t="s">
        <v>35</v>
      </c>
      <c r="Z86">
        <v>6</v>
      </c>
      <c r="AA86">
        <v>1</v>
      </c>
      <c r="AB86" t="s">
        <v>36</v>
      </c>
      <c r="AC86" t="s">
        <v>37</v>
      </c>
      <c r="AE86" t="s">
        <v>38</v>
      </c>
      <c r="AF86">
        <v>59.781188893065199</v>
      </c>
      <c r="AG86" t="s">
        <v>39</v>
      </c>
    </row>
    <row r="87" spans="1:33" x14ac:dyDescent="0.35">
      <c r="A87" t="s">
        <v>40</v>
      </c>
      <c r="B87">
        <v>8000</v>
      </c>
      <c r="C87">
        <v>10500</v>
      </c>
      <c r="D87">
        <v>20</v>
      </c>
      <c r="E87">
        <v>85</v>
      </c>
      <c r="F87">
        <v>5</v>
      </c>
      <c r="G87">
        <v>8</v>
      </c>
      <c r="H87" t="s">
        <v>41</v>
      </c>
      <c r="I87">
        <v>1.0932662000122899</v>
      </c>
      <c r="J87" t="s">
        <v>35</v>
      </c>
      <c r="K87">
        <v>8</v>
      </c>
      <c r="L87">
        <v>5</v>
      </c>
      <c r="M87">
        <v>85</v>
      </c>
      <c r="N87">
        <v>8</v>
      </c>
      <c r="O87">
        <v>279.319624900002</v>
      </c>
      <c r="Q87">
        <v>279.30973849998497</v>
      </c>
      <c r="R87">
        <v>279.319624900002</v>
      </c>
      <c r="S87">
        <v>280.30315980000802</v>
      </c>
      <c r="T87">
        <v>280.30315980000802</v>
      </c>
      <c r="U87">
        <v>280.31959229998699</v>
      </c>
      <c r="V87">
        <v>281.40453339999601</v>
      </c>
      <c r="W87" t="s">
        <v>41</v>
      </c>
      <c r="X87">
        <v>1.0932662000122899</v>
      </c>
      <c r="Y87" t="s">
        <v>35</v>
      </c>
      <c r="Z87">
        <v>6</v>
      </c>
      <c r="AA87">
        <v>1</v>
      </c>
      <c r="AB87" t="s">
        <v>36</v>
      </c>
      <c r="AC87" t="s">
        <v>37</v>
      </c>
      <c r="AE87" t="s">
        <v>38</v>
      </c>
      <c r="AF87">
        <v>59.781188893065199</v>
      </c>
      <c r="AG87" t="s">
        <v>39</v>
      </c>
    </row>
    <row r="88" spans="1:33" x14ac:dyDescent="0.35">
      <c r="A88" t="s">
        <v>33</v>
      </c>
      <c r="B88">
        <v>6000</v>
      </c>
      <c r="C88">
        <v>11000</v>
      </c>
      <c r="D88">
        <v>65</v>
      </c>
      <c r="E88">
        <v>86</v>
      </c>
      <c r="F88">
        <v>6</v>
      </c>
      <c r="G88">
        <v>8</v>
      </c>
      <c r="H88" t="s">
        <v>34</v>
      </c>
      <c r="I88">
        <v>0.76589959999546398</v>
      </c>
      <c r="J88" t="s">
        <v>35</v>
      </c>
      <c r="K88">
        <v>8</v>
      </c>
      <c r="L88">
        <v>6</v>
      </c>
      <c r="M88">
        <v>86</v>
      </c>
      <c r="N88">
        <v>7</v>
      </c>
      <c r="O88">
        <v>281.41990209999398</v>
      </c>
      <c r="Q88">
        <v>281.41118180000899</v>
      </c>
      <c r="R88">
        <v>281.41990209999398</v>
      </c>
      <c r="S88">
        <v>282.42030629998698</v>
      </c>
      <c r="T88">
        <v>282.42030629998698</v>
      </c>
      <c r="U88">
        <v>282.42030629998698</v>
      </c>
      <c r="V88">
        <v>283.18753289998801</v>
      </c>
      <c r="W88" t="s">
        <v>34</v>
      </c>
      <c r="X88">
        <v>0.76589959999546398</v>
      </c>
      <c r="Y88" t="s">
        <v>35</v>
      </c>
      <c r="Z88">
        <v>6</v>
      </c>
      <c r="AA88">
        <v>1</v>
      </c>
      <c r="AB88" t="s">
        <v>36</v>
      </c>
      <c r="AC88" t="s">
        <v>37</v>
      </c>
      <c r="AE88" t="s">
        <v>38</v>
      </c>
      <c r="AF88">
        <v>59.781188893065199</v>
      </c>
      <c r="AG88" t="s">
        <v>39</v>
      </c>
    </row>
    <row r="89" spans="1:33" x14ac:dyDescent="0.35">
      <c r="A89" t="s">
        <v>33</v>
      </c>
      <c r="B89">
        <v>3500</v>
      </c>
      <c r="C89">
        <v>7000</v>
      </c>
      <c r="D89">
        <v>30</v>
      </c>
      <c r="E89">
        <v>87</v>
      </c>
      <c r="F89">
        <v>7</v>
      </c>
      <c r="G89">
        <v>8</v>
      </c>
      <c r="H89" t="s">
        <v>34</v>
      </c>
      <c r="I89">
        <v>3.6443654999893602</v>
      </c>
      <c r="J89" t="s">
        <v>35</v>
      </c>
      <c r="K89">
        <v>8</v>
      </c>
      <c r="L89">
        <v>7</v>
      </c>
      <c r="M89">
        <v>87</v>
      </c>
      <c r="N89">
        <v>3</v>
      </c>
      <c r="O89">
        <v>283.20339549999301</v>
      </c>
      <c r="Q89">
        <v>283.19338129999198</v>
      </c>
      <c r="R89">
        <v>283.20339549999301</v>
      </c>
      <c r="S89">
        <v>284.18790119999898</v>
      </c>
      <c r="T89">
        <v>284.18790119999898</v>
      </c>
      <c r="U89">
        <v>284.20456829998801</v>
      </c>
      <c r="V89">
        <v>287.83848790000701</v>
      </c>
      <c r="W89" t="s">
        <v>34</v>
      </c>
      <c r="X89">
        <v>3.6443654999893602</v>
      </c>
      <c r="Y89" t="s">
        <v>35</v>
      </c>
      <c r="Z89">
        <v>6</v>
      </c>
      <c r="AA89">
        <v>1</v>
      </c>
      <c r="AB89" t="s">
        <v>36</v>
      </c>
      <c r="AC89" t="s">
        <v>37</v>
      </c>
      <c r="AE89" t="s">
        <v>38</v>
      </c>
      <c r="AF89">
        <v>59.781188893065199</v>
      </c>
      <c r="AG89" t="s">
        <v>39</v>
      </c>
    </row>
    <row r="90" spans="1:33" x14ac:dyDescent="0.35">
      <c r="A90" t="s">
        <v>33</v>
      </c>
      <c r="B90">
        <v>6000</v>
      </c>
      <c r="C90">
        <v>8500</v>
      </c>
      <c r="D90">
        <v>20</v>
      </c>
      <c r="E90">
        <v>88</v>
      </c>
      <c r="F90">
        <v>8</v>
      </c>
      <c r="G90">
        <v>8</v>
      </c>
      <c r="H90" t="s">
        <v>34</v>
      </c>
      <c r="I90">
        <v>1.4324741000018499</v>
      </c>
      <c r="J90" t="s">
        <v>35</v>
      </c>
      <c r="K90">
        <v>8</v>
      </c>
      <c r="L90">
        <v>8</v>
      </c>
      <c r="M90">
        <v>88</v>
      </c>
      <c r="N90">
        <v>2</v>
      </c>
      <c r="O90">
        <v>287.85435929999198</v>
      </c>
      <c r="Q90">
        <v>287.84373749999202</v>
      </c>
      <c r="R90">
        <v>287.85435929999198</v>
      </c>
      <c r="S90">
        <v>288.83818530000201</v>
      </c>
      <c r="T90">
        <v>288.83818530000201</v>
      </c>
      <c r="U90">
        <v>288.85468059999403</v>
      </c>
      <c r="V90">
        <v>290.27250590000699</v>
      </c>
      <c r="W90" t="s">
        <v>34</v>
      </c>
      <c r="X90">
        <v>1.4324741000018499</v>
      </c>
      <c r="Y90" t="s">
        <v>35</v>
      </c>
      <c r="Z90">
        <v>6</v>
      </c>
      <c r="AA90">
        <v>1</v>
      </c>
      <c r="AB90" t="s">
        <v>36</v>
      </c>
      <c r="AC90" t="s">
        <v>37</v>
      </c>
      <c r="AE90" t="s">
        <v>38</v>
      </c>
      <c r="AF90">
        <v>59.781188893065199</v>
      </c>
      <c r="AG90" t="s">
        <v>39</v>
      </c>
    </row>
    <row r="91" spans="1:33" x14ac:dyDescent="0.35">
      <c r="A91" t="s">
        <v>33</v>
      </c>
      <c r="B91">
        <v>4500</v>
      </c>
      <c r="C91">
        <v>5000</v>
      </c>
      <c r="D91">
        <v>35</v>
      </c>
      <c r="E91">
        <v>89</v>
      </c>
      <c r="F91">
        <v>9</v>
      </c>
      <c r="G91">
        <v>8</v>
      </c>
      <c r="H91" t="s">
        <v>34</v>
      </c>
      <c r="I91">
        <v>0.84898690000409205</v>
      </c>
      <c r="J91" t="s">
        <v>35</v>
      </c>
      <c r="K91">
        <v>8</v>
      </c>
      <c r="L91">
        <v>9</v>
      </c>
      <c r="M91">
        <v>89</v>
      </c>
      <c r="N91">
        <v>9</v>
      </c>
      <c r="O91">
        <v>290.28786069998699</v>
      </c>
      <c r="Q91">
        <v>290.27927460000501</v>
      </c>
      <c r="R91">
        <v>290.28786069998699</v>
      </c>
      <c r="S91">
        <v>291.27165629999899</v>
      </c>
      <c r="T91">
        <v>291.27165629999899</v>
      </c>
      <c r="U91">
        <v>291.28843240000401</v>
      </c>
      <c r="V91">
        <v>292.12252999999299</v>
      </c>
      <c r="W91" t="s">
        <v>34</v>
      </c>
      <c r="X91">
        <v>0.84898690000409205</v>
      </c>
      <c r="Y91" t="s">
        <v>35</v>
      </c>
      <c r="Z91">
        <v>6</v>
      </c>
      <c r="AA91">
        <v>1</v>
      </c>
      <c r="AB91" t="s">
        <v>36</v>
      </c>
      <c r="AC91" t="s">
        <v>37</v>
      </c>
      <c r="AE91" t="s">
        <v>38</v>
      </c>
      <c r="AF91">
        <v>59.781188893065199</v>
      </c>
      <c r="AG91" t="s">
        <v>39</v>
      </c>
    </row>
    <row r="92" spans="1:33" x14ac:dyDescent="0.35">
      <c r="A92" t="s">
        <v>33</v>
      </c>
      <c r="B92">
        <v>6000</v>
      </c>
      <c r="C92">
        <v>11000</v>
      </c>
      <c r="D92">
        <v>65</v>
      </c>
      <c r="E92">
        <v>90</v>
      </c>
      <c r="F92">
        <v>0</v>
      </c>
      <c r="G92">
        <v>9</v>
      </c>
      <c r="H92" t="s">
        <v>34</v>
      </c>
      <c r="I92">
        <v>1.0437265000073199</v>
      </c>
      <c r="J92" t="s">
        <v>35</v>
      </c>
      <c r="K92">
        <v>9</v>
      </c>
      <c r="L92">
        <v>0</v>
      </c>
      <c r="M92">
        <v>90</v>
      </c>
      <c r="N92">
        <v>7</v>
      </c>
      <c r="O92">
        <v>292.13843739998902</v>
      </c>
      <c r="Q92">
        <v>292.12712550000202</v>
      </c>
      <c r="R92">
        <v>292.13843739998902</v>
      </c>
      <c r="S92">
        <v>293.12193759999298</v>
      </c>
      <c r="T92">
        <v>293.12193759999298</v>
      </c>
      <c r="U92">
        <v>293.13873069998198</v>
      </c>
      <c r="V92">
        <v>294.172762000001</v>
      </c>
      <c r="W92" t="s">
        <v>34</v>
      </c>
      <c r="X92">
        <v>1.0437265000073199</v>
      </c>
      <c r="Y92" t="s">
        <v>35</v>
      </c>
      <c r="Z92">
        <v>6</v>
      </c>
      <c r="AA92">
        <v>1</v>
      </c>
      <c r="AB92" t="s">
        <v>36</v>
      </c>
      <c r="AC92" t="s">
        <v>37</v>
      </c>
      <c r="AE92" t="s">
        <v>38</v>
      </c>
      <c r="AF92">
        <v>59.781188893065199</v>
      </c>
      <c r="AG92" t="s">
        <v>39</v>
      </c>
    </row>
    <row r="93" spans="1:33" x14ac:dyDescent="0.35">
      <c r="A93" t="s">
        <v>40</v>
      </c>
      <c r="B93">
        <v>2000</v>
      </c>
      <c r="C93">
        <v>3500</v>
      </c>
      <c r="D93">
        <v>25</v>
      </c>
      <c r="E93">
        <v>91</v>
      </c>
      <c r="F93">
        <v>1</v>
      </c>
      <c r="G93">
        <v>9</v>
      </c>
      <c r="H93" t="s">
        <v>41</v>
      </c>
      <c r="I93">
        <v>1.1858783999923601</v>
      </c>
      <c r="J93" t="s">
        <v>35</v>
      </c>
      <c r="K93">
        <v>9</v>
      </c>
      <c r="L93">
        <v>1</v>
      </c>
      <c r="M93">
        <v>91</v>
      </c>
      <c r="N93">
        <v>4</v>
      </c>
      <c r="O93">
        <v>294.18877219999501</v>
      </c>
      <c r="Q93">
        <v>294.17773190000997</v>
      </c>
      <c r="R93">
        <v>294.18877219999501</v>
      </c>
      <c r="S93">
        <v>295.17233179998499</v>
      </c>
      <c r="T93">
        <v>295.17233179998499</v>
      </c>
      <c r="U93">
        <v>295.18904249998701</v>
      </c>
      <c r="V93">
        <v>296.37372209999</v>
      </c>
      <c r="W93" t="s">
        <v>41</v>
      </c>
      <c r="X93">
        <v>1.1858783999923601</v>
      </c>
      <c r="Y93" t="s">
        <v>35</v>
      </c>
      <c r="Z93">
        <v>6</v>
      </c>
      <c r="AA93">
        <v>1</v>
      </c>
      <c r="AB93" t="s">
        <v>36</v>
      </c>
      <c r="AC93" t="s">
        <v>37</v>
      </c>
      <c r="AE93" t="s">
        <v>38</v>
      </c>
      <c r="AF93">
        <v>59.781188893065199</v>
      </c>
      <c r="AG93" t="s">
        <v>39</v>
      </c>
    </row>
    <row r="94" spans="1:33" x14ac:dyDescent="0.35">
      <c r="A94" t="s">
        <v>40</v>
      </c>
      <c r="B94">
        <v>4700</v>
      </c>
      <c r="C94">
        <v>10000</v>
      </c>
      <c r="D94">
        <v>28</v>
      </c>
      <c r="E94">
        <v>92</v>
      </c>
      <c r="F94">
        <v>2</v>
      </c>
      <c r="G94">
        <v>9</v>
      </c>
      <c r="H94" t="s">
        <v>41</v>
      </c>
      <c r="I94">
        <v>3.8589395000017199</v>
      </c>
      <c r="J94" t="s">
        <v>35</v>
      </c>
      <c r="K94">
        <v>9</v>
      </c>
      <c r="L94">
        <v>2</v>
      </c>
      <c r="M94">
        <v>92</v>
      </c>
      <c r="N94">
        <v>1</v>
      </c>
      <c r="O94">
        <v>296.38900699998999</v>
      </c>
      <c r="Q94">
        <v>296.37916969999702</v>
      </c>
      <c r="R94">
        <v>296.38900699998999</v>
      </c>
      <c r="S94">
        <v>297.38990789998201</v>
      </c>
      <c r="T94">
        <v>297.38990789998201</v>
      </c>
      <c r="U94">
        <v>297.38990789998201</v>
      </c>
      <c r="V94">
        <v>301.25736260000798</v>
      </c>
      <c r="W94" t="s">
        <v>41</v>
      </c>
      <c r="X94">
        <v>3.8589395000017199</v>
      </c>
      <c r="Y94" t="s">
        <v>35</v>
      </c>
      <c r="Z94">
        <v>6</v>
      </c>
      <c r="AA94">
        <v>1</v>
      </c>
      <c r="AB94" t="s">
        <v>36</v>
      </c>
      <c r="AC94" t="s">
        <v>37</v>
      </c>
      <c r="AE94" t="s">
        <v>38</v>
      </c>
      <c r="AF94">
        <v>59.781188893065199</v>
      </c>
      <c r="AG94" t="s">
        <v>39</v>
      </c>
    </row>
    <row r="95" spans="1:33" x14ac:dyDescent="0.35">
      <c r="A95" t="s">
        <v>33</v>
      </c>
      <c r="B95">
        <v>3500</v>
      </c>
      <c r="C95">
        <v>5000</v>
      </c>
      <c r="D95">
        <v>40</v>
      </c>
      <c r="E95">
        <v>93</v>
      </c>
      <c r="F95">
        <v>3</v>
      </c>
      <c r="G95">
        <v>9</v>
      </c>
      <c r="H95" t="s">
        <v>34</v>
      </c>
      <c r="I95">
        <v>1.32562589997542</v>
      </c>
      <c r="J95" t="s">
        <v>35</v>
      </c>
      <c r="K95">
        <v>9</v>
      </c>
      <c r="L95">
        <v>3</v>
      </c>
      <c r="M95">
        <v>93</v>
      </c>
      <c r="N95">
        <v>6</v>
      </c>
      <c r="O95">
        <v>301.27347379998503</v>
      </c>
      <c r="Q95">
        <v>301.26273339998397</v>
      </c>
      <c r="R95">
        <v>301.27347379998503</v>
      </c>
      <c r="S95">
        <v>302.25707279998397</v>
      </c>
      <c r="T95">
        <v>302.25707279998397</v>
      </c>
      <c r="U95">
        <v>302.27355009998399</v>
      </c>
      <c r="V95">
        <v>303.59133439999999</v>
      </c>
      <c r="W95" t="s">
        <v>34</v>
      </c>
      <c r="X95">
        <v>1.32562589997542</v>
      </c>
      <c r="Y95" t="s">
        <v>35</v>
      </c>
      <c r="Z95">
        <v>6</v>
      </c>
      <c r="AA95">
        <v>1</v>
      </c>
      <c r="AB95" t="s">
        <v>36</v>
      </c>
      <c r="AC95" t="s">
        <v>37</v>
      </c>
      <c r="AE95" t="s">
        <v>38</v>
      </c>
      <c r="AF95">
        <v>59.781188893065199</v>
      </c>
      <c r="AG95" t="s">
        <v>39</v>
      </c>
    </row>
    <row r="96" spans="1:33" x14ac:dyDescent="0.35">
      <c r="A96" t="s">
        <v>33</v>
      </c>
      <c r="B96">
        <v>6000</v>
      </c>
      <c r="C96">
        <v>8500</v>
      </c>
      <c r="D96">
        <v>20</v>
      </c>
      <c r="E96">
        <v>94</v>
      </c>
      <c r="F96">
        <v>4</v>
      </c>
      <c r="G96">
        <v>9</v>
      </c>
      <c r="H96" t="s">
        <v>34</v>
      </c>
      <c r="I96">
        <v>0.56382480001775503</v>
      </c>
      <c r="J96" t="s">
        <v>35</v>
      </c>
      <c r="K96">
        <v>9</v>
      </c>
      <c r="L96">
        <v>4</v>
      </c>
      <c r="M96">
        <v>94</v>
      </c>
      <c r="N96">
        <v>2</v>
      </c>
      <c r="O96">
        <v>303.60725880000899</v>
      </c>
      <c r="Q96">
        <v>303.59700710000402</v>
      </c>
      <c r="R96">
        <v>303.60725880000899</v>
      </c>
      <c r="S96">
        <v>304.59081920000602</v>
      </c>
      <c r="T96">
        <v>304.59081920000602</v>
      </c>
      <c r="U96">
        <v>304.60745469998801</v>
      </c>
      <c r="V96">
        <v>305.15831460000402</v>
      </c>
      <c r="W96" t="s">
        <v>34</v>
      </c>
      <c r="X96">
        <v>0.56382480001775503</v>
      </c>
      <c r="Y96" t="s">
        <v>35</v>
      </c>
      <c r="Z96">
        <v>6</v>
      </c>
      <c r="AA96">
        <v>1</v>
      </c>
      <c r="AB96" t="s">
        <v>36</v>
      </c>
      <c r="AC96" t="s">
        <v>37</v>
      </c>
      <c r="AE96" t="s">
        <v>38</v>
      </c>
      <c r="AF96">
        <v>59.781188893065199</v>
      </c>
      <c r="AG96" t="s">
        <v>39</v>
      </c>
    </row>
    <row r="97" spans="1:33" x14ac:dyDescent="0.35">
      <c r="A97" t="s">
        <v>40</v>
      </c>
      <c r="B97">
        <v>8000</v>
      </c>
      <c r="C97">
        <v>10500</v>
      </c>
      <c r="D97">
        <v>20</v>
      </c>
      <c r="E97">
        <v>95</v>
      </c>
      <c r="F97">
        <v>5</v>
      </c>
      <c r="G97">
        <v>9</v>
      </c>
      <c r="H97" t="s">
        <v>41</v>
      </c>
      <c r="I97">
        <v>1.7244044999824799</v>
      </c>
      <c r="J97" t="s">
        <v>35</v>
      </c>
      <c r="K97">
        <v>9</v>
      </c>
      <c r="L97">
        <v>5</v>
      </c>
      <c r="M97">
        <v>95</v>
      </c>
      <c r="N97">
        <v>8</v>
      </c>
      <c r="O97">
        <v>305.17407380000799</v>
      </c>
      <c r="Q97">
        <v>305.16492939999398</v>
      </c>
      <c r="R97">
        <v>305.17407380000799</v>
      </c>
      <c r="S97">
        <v>306.15819539999899</v>
      </c>
      <c r="T97">
        <v>306.15819539999899</v>
      </c>
      <c r="U97">
        <v>306.17476540000598</v>
      </c>
      <c r="V97">
        <v>307.89238869998297</v>
      </c>
      <c r="W97" t="s">
        <v>41</v>
      </c>
      <c r="X97">
        <v>1.7244044999824799</v>
      </c>
      <c r="Y97" t="s">
        <v>35</v>
      </c>
      <c r="Z97">
        <v>6</v>
      </c>
      <c r="AA97">
        <v>1</v>
      </c>
      <c r="AB97" t="s">
        <v>36</v>
      </c>
      <c r="AC97" t="s">
        <v>37</v>
      </c>
      <c r="AE97" t="s">
        <v>38</v>
      </c>
      <c r="AF97">
        <v>59.781188893065199</v>
      </c>
      <c r="AG97" t="s">
        <v>39</v>
      </c>
    </row>
    <row r="98" spans="1:33" x14ac:dyDescent="0.35">
      <c r="A98" t="s">
        <v>33</v>
      </c>
      <c r="B98">
        <v>3500</v>
      </c>
      <c r="C98">
        <v>7000</v>
      </c>
      <c r="D98">
        <v>30</v>
      </c>
      <c r="E98">
        <v>96</v>
      </c>
      <c r="F98">
        <v>6</v>
      </c>
      <c r="G98">
        <v>9</v>
      </c>
      <c r="H98" t="s">
        <v>34</v>
      </c>
      <c r="I98">
        <v>15.5861075999855</v>
      </c>
      <c r="J98" t="s">
        <v>35</v>
      </c>
      <c r="K98">
        <v>9</v>
      </c>
      <c r="L98">
        <v>6</v>
      </c>
      <c r="M98">
        <v>96</v>
      </c>
      <c r="N98">
        <v>3</v>
      </c>
      <c r="O98">
        <v>307.90784709999502</v>
      </c>
      <c r="Q98">
        <v>307.89755510000299</v>
      </c>
      <c r="R98">
        <v>307.90784709999502</v>
      </c>
      <c r="S98">
        <v>308.90828070000799</v>
      </c>
      <c r="T98">
        <v>308.90828070000799</v>
      </c>
      <c r="U98">
        <v>308.90828070000799</v>
      </c>
      <c r="V98">
        <v>324.51325940000203</v>
      </c>
      <c r="W98" t="s">
        <v>34</v>
      </c>
      <c r="X98">
        <v>15.5861075999855</v>
      </c>
      <c r="Y98" t="s">
        <v>35</v>
      </c>
      <c r="Z98">
        <v>6</v>
      </c>
      <c r="AA98">
        <v>1</v>
      </c>
      <c r="AB98" t="s">
        <v>36</v>
      </c>
      <c r="AC98" t="s">
        <v>37</v>
      </c>
      <c r="AE98" t="s">
        <v>38</v>
      </c>
      <c r="AF98">
        <v>59.781188893065199</v>
      </c>
      <c r="AG98" t="s">
        <v>39</v>
      </c>
    </row>
    <row r="99" spans="1:33" x14ac:dyDescent="0.35">
      <c r="A99" t="s">
        <v>33</v>
      </c>
      <c r="B99">
        <v>4500</v>
      </c>
      <c r="C99">
        <v>5000</v>
      </c>
      <c r="D99">
        <v>35</v>
      </c>
      <c r="E99">
        <v>97</v>
      </c>
      <c r="F99">
        <v>7</v>
      </c>
      <c r="G99">
        <v>9</v>
      </c>
      <c r="H99" t="s">
        <v>34</v>
      </c>
      <c r="I99">
        <v>0.61321330000646401</v>
      </c>
      <c r="J99" t="s">
        <v>35</v>
      </c>
      <c r="K99">
        <v>9</v>
      </c>
      <c r="L99">
        <v>7</v>
      </c>
      <c r="M99">
        <v>97</v>
      </c>
      <c r="N99">
        <v>9</v>
      </c>
      <c r="O99">
        <v>324.52736489998603</v>
      </c>
      <c r="Q99">
        <v>324.51840289999302</v>
      </c>
      <c r="R99">
        <v>324.52736489998603</v>
      </c>
      <c r="S99">
        <v>325.52786309999601</v>
      </c>
      <c r="T99">
        <v>325.52786309999601</v>
      </c>
      <c r="U99">
        <v>325.52786309999601</v>
      </c>
      <c r="V99">
        <v>326.145235500007</v>
      </c>
      <c r="W99" t="s">
        <v>34</v>
      </c>
      <c r="X99">
        <v>0.61321330000646401</v>
      </c>
      <c r="Y99" t="s">
        <v>35</v>
      </c>
      <c r="Z99">
        <v>6</v>
      </c>
      <c r="AA99">
        <v>1</v>
      </c>
      <c r="AB99" t="s">
        <v>36</v>
      </c>
      <c r="AC99" t="s">
        <v>37</v>
      </c>
      <c r="AE99" t="s">
        <v>38</v>
      </c>
      <c r="AF99">
        <v>59.781188893065199</v>
      </c>
      <c r="AG99" t="s">
        <v>39</v>
      </c>
    </row>
    <row r="100" spans="1:33" x14ac:dyDescent="0.35">
      <c r="A100" t="s">
        <v>40</v>
      </c>
      <c r="B100">
        <v>5000</v>
      </c>
      <c r="C100">
        <v>6500</v>
      </c>
      <c r="D100">
        <v>30</v>
      </c>
      <c r="E100">
        <v>98</v>
      </c>
      <c r="F100">
        <v>8</v>
      </c>
      <c r="G100">
        <v>9</v>
      </c>
      <c r="H100" t="s">
        <v>41</v>
      </c>
      <c r="I100">
        <v>1.19144389999564</v>
      </c>
      <c r="J100" t="s">
        <v>35</v>
      </c>
      <c r="K100">
        <v>9</v>
      </c>
      <c r="L100">
        <v>8</v>
      </c>
      <c r="M100">
        <v>98</v>
      </c>
      <c r="N100">
        <v>0</v>
      </c>
      <c r="O100">
        <v>326.16125959998999</v>
      </c>
      <c r="Q100">
        <v>326.15018249998599</v>
      </c>
      <c r="R100">
        <v>326.16125959998999</v>
      </c>
      <c r="S100">
        <v>327.14501569999197</v>
      </c>
      <c r="T100">
        <v>327.14501569999197</v>
      </c>
      <c r="U100">
        <v>327.16149500000699</v>
      </c>
      <c r="V100">
        <v>328.345766599988</v>
      </c>
      <c r="W100" t="s">
        <v>41</v>
      </c>
      <c r="X100">
        <v>1.19144389999564</v>
      </c>
      <c r="Y100" t="s">
        <v>35</v>
      </c>
      <c r="Z100">
        <v>6</v>
      </c>
      <c r="AA100">
        <v>1</v>
      </c>
      <c r="AB100" t="s">
        <v>36</v>
      </c>
      <c r="AC100" t="s">
        <v>37</v>
      </c>
      <c r="AE100" t="s">
        <v>38</v>
      </c>
      <c r="AF100">
        <v>59.781188893065199</v>
      </c>
      <c r="AG100" t="s">
        <v>39</v>
      </c>
    </row>
    <row r="101" spans="1:33" x14ac:dyDescent="0.35">
      <c r="A101" t="s">
        <v>40</v>
      </c>
      <c r="B101">
        <v>6700</v>
      </c>
      <c r="C101">
        <v>11000</v>
      </c>
      <c r="D101">
        <v>50</v>
      </c>
      <c r="E101">
        <v>99</v>
      </c>
      <c r="F101">
        <v>9</v>
      </c>
      <c r="G101">
        <v>9</v>
      </c>
      <c r="H101" t="s">
        <v>41</v>
      </c>
      <c r="I101">
        <v>5.00956489998498</v>
      </c>
      <c r="J101" t="s">
        <v>35</v>
      </c>
      <c r="K101">
        <v>9</v>
      </c>
      <c r="L101">
        <v>9</v>
      </c>
      <c r="M101">
        <v>99</v>
      </c>
      <c r="N101">
        <v>5</v>
      </c>
      <c r="O101">
        <v>328.36166059999903</v>
      </c>
      <c r="Q101">
        <v>328.350947600003</v>
      </c>
      <c r="R101">
        <v>328.36166059999903</v>
      </c>
      <c r="S101">
        <v>329.34514789999201</v>
      </c>
      <c r="T101">
        <v>329.34514789999201</v>
      </c>
      <c r="U101">
        <v>329.36181139998303</v>
      </c>
      <c r="V101">
        <v>334.36320210000798</v>
      </c>
      <c r="W101" t="s">
        <v>41</v>
      </c>
      <c r="X101">
        <v>5.00956489998498</v>
      </c>
      <c r="Y101" t="s">
        <v>35</v>
      </c>
      <c r="Z101">
        <v>6</v>
      </c>
      <c r="AA101">
        <v>1</v>
      </c>
      <c r="AB101" t="s">
        <v>36</v>
      </c>
      <c r="AC101" t="s">
        <v>37</v>
      </c>
      <c r="AE101" t="s">
        <v>38</v>
      </c>
      <c r="AF101">
        <v>59.781188893065199</v>
      </c>
      <c r="AG10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E113-132D-4100-8529-6437438FF641}">
  <dimension ref="A1:E101"/>
  <sheetViews>
    <sheetView workbookViewId="0">
      <selection activeCell="G1" sqref="G1"/>
    </sheetView>
  </sheetViews>
  <sheetFormatPr defaultRowHeight="14.5" x14ac:dyDescent="0.35"/>
  <cols>
    <col min="1" max="1" width="18.26953125" customWidth="1"/>
    <col min="2" max="2" width="17.26953125" customWidth="1"/>
    <col min="3" max="3" width="16.81640625" customWidth="1"/>
    <col min="4" max="4" width="17.08984375" customWidth="1"/>
    <col min="5" max="5" width="1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5">
      <c r="A2" t="s">
        <v>33</v>
      </c>
      <c r="B2">
        <v>6000</v>
      </c>
      <c r="C2">
        <v>11000</v>
      </c>
      <c r="D2">
        <v>65</v>
      </c>
      <c r="E2" t="s">
        <v>34</v>
      </c>
    </row>
    <row r="3" spans="1:5" x14ac:dyDescent="0.35">
      <c r="A3" t="s">
        <v>40</v>
      </c>
      <c r="B3">
        <v>2000</v>
      </c>
      <c r="C3">
        <v>3500</v>
      </c>
      <c r="D3">
        <v>25</v>
      </c>
      <c r="E3" t="s">
        <v>41</v>
      </c>
    </row>
    <row r="4" spans="1:5" x14ac:dyDescent="0.35">
      <c r="A4" t="s">
        <v>33</v>
      </c>
      <c r="B4">
        <v>3500</v>
      </c>
      <c r="C4">
        <v>7000</v>
      </c>
      <c r="D4">
        <v>30</v>
      </c>
      <c r="E4" t="s">
        <v>34</v>
      </c>
    </row>
    <row r="5" spans="1:5" x14ac:dyDescent="0.35">
      <c r="A5" t="s">
        <v>40</v>
      </c>
      <c r="B5">
        <v>4700</v>
      </c>
      <c r="C5">
        <v>10000</v>
      </c>
      <c r="D5">
        <v>28</v>
      </c>
      <c r="E5" t="s">
        <v>34</v>
      </c>
    </row>
    <row r="6" spans="1:5" x14ac:dyDescent="0.35">
      <c r="A6" t="s">
        <v>40</v>
      </c>
      <c r="B6">
        <v>5000</v>
      </c>
      <c r="C6">
        <v>6500</v>
      </c>
      <c r="D6">
        <v>30</v>
      </c>
      <c r="E6" t="s">
        <v>41</v>
      </c>
    </row>
    <row r="7" spans="1:5" x14ac:dyDescent="0.35">
      <c r="A7" t="s">
        <v>40</v>
      </c>
      <c r="B7">
        <v>6700</v>
      </c>
      <c r="C7">
        <v>11000</v>
      </c>
      <c r="D7">
        <v>50</v>
      </c>
      <c r="E7" t="s">
        <v>41</v>
      </c>
    </row>
    <row r="8" spans="1:5" x14ac:dyDescent="0.35">
      <c r="A8" t="s">
        <v>33</v>
      </c>
      <c r="B8">
        <v>3500</v>
      </c>
      <c r="C8">
        <v>5000</v>
      </c>
      <c r="D8">
        <v>40</v>
      </c>
      <c r="E8" t="s">
        <v>34</v>
      </c>
    </row>
    <row r="9" spans="1:5" x14ac:dyDescent="0.35">
      <c r="A9" t="s">
        <v>33</v>
      </c>
      <c r="B9">
        <v>6000</v>
      </c>
      <c r="C9">
        <v>8500</v>
      </c>
      <c r="D9">
        <v>20</v>
      </c>
      <c r="E9" t="s">
        <v>34</v>
      </c>
    </row>
    <row r="10" spans="1:5" x14ac:dyDescent="0.35">
      <c r="A10" t="s">
        <v>33</v>
      </c>
      <c r="B10">
        <v>4500</v>
      </c>
      <c r="C10">
        <v>5000</v>
      </c>
      <c r="D10">
        <v>35</v>
      </c>
      <c r="E10" t="s">
        <v>41</v>
      </c>
    </row>
    <row r="11" spans="1:5" x14ac:dyDescent="0.35">
      <c r="A11" t="s">
        <v>40</v>
      </c>
      <c r="B11">
        <v>8000</v>
      </c>
      <c r="C11">
        <v>10500</v>
      </c>
      <c r="D11">
        <v>20</v>
      </c>
      <c r="E11" t="s">
        <v>41</v>
      </c>
    </row>
    <row r="12" spans="1:5" x14ac:dyDescent="0.35">
      <c r="A12" t="s">
        <v>40</v>
      </c>
      <c r="B12">
        <v>6700</v>
      </c>
      <c r="C12">
        <v>11000</v>
      </c>
      <c r="D12">
        <v>50</v>
      </c>
      <c r="E12" t="s">
        <v>34</v>
      </c>
    </row>
    <row r="13" spans="1:5" x14ac:dyDescent="0.35">
      <c r="A13" t="s">
        <v>33</v>
      </c>
      <c r="B13">
        <v>6000</v>
      </c>
      <c r="C13">
        <v>11000</v>
      </c>
      <c r="D13">
        <v>65</v>
      </c>
      <c r="E13" t="s">
        <v>34</v>
      </c>
    </row>
    <row r="14" spans="1:5" x14ac:dyDescent="0.35">
      <c r="A14" t="s">
        <v>40</v>
      </c>
      <c r="B14">
        <v>5000</v>
      </c>
      <c r="C14">
        <v>6500</v>
      </c>
      <c r="D14">
        <v>30</v>
      </c>
      <c r="E14" t="s">
        <v>41</v>
      </c>
    </row>
    <row r="15" spans="1:5" x14ac:dyDescent="0.35">
      <c r="A15" t="s">
        <v>40</v>
      </c>
      <c r="B15">
        <v>4700</v>
      </c>
      <c r="C15">
        <v>10000</v>
      </c>
      <c r="D15">
        <v>28</v>
      </c>
      <c r="E15" t="s">
        <v>34</v>
      </c>
    </row>
    <row r="16" spans="1:5" x14ac:dyDescent="0.35">
      <c r="A16" t="s">
        <v>33</v>
      </c>
      <c r="B16">
        <v>3500</v>
      </c>
      <c r="C16">
        <v>7000</v>
      </c>
      <c r="D16">
        <v>30</v>
      </c>
      <c r="E16" t="s">
        <v>34</v>
      </c>
    </row>
    <row r="17" spans="1:5" x14ac:dyDescent="0.35">
      <c r="A17" t="s">
        <v>40</v>
      </c>
      <c r="B17">
        <v>8000</v>
      </c>
      <c r="C17">
        <v>10500</v>
      </c>
      <c r="D17">
        <v>20</v>
      </c>
      <c r="E17" t="s">
        <v>41</v>
      </c>
    </row>
    <row r="18" spans="1:5" x14ac:dyDescent="0.35">
      <c r="A18" t="s">
        <v>33</v>
      </c>
      <c r="B18">
        <v>3500</v>
      </c>
      <c r="C18">
        <v>5000</v>
      </c>
      <c r="D18">
        <v>40</v>
      </c>
      <c r="E18" t="s">
        <v>41</v>
      </c>
    </row>
    <row r="19" spans="1:5" x14ac:dyDescent="0.35">
      <c r="A19" t="s">
        <v>33</v>
      </c>
      <c r="B19">
        <v>4500</v>
      </c>
      <c r="C19">
        <v>5000</v>
      </c>
      <c r="D19">
        <v>35</v>
      </c>
      <c r="E19" t="s">
        <v>41</v>
      </c>
    </row>
    <row r="20" spans="1:5" x14ac:dyDescent="0.35">
      <c r="A20" t="s">
        <v>40</v>
      </c>
      <c r="B20">
        <v>2000</v>
      </c>
      <c r="C20">
        <v>3500</v>
      </c>
      <c r="D20">
        <v>25</v>
      </c>
      <c r="E20" t="s">
        <v>41</v>
      </c>
    </row>
    <row r="21" spans="1:5" x14ac:dyDescent="0.35">
      <c r="A21" t="s">
        <v>33</v>
      </c>
      <c r="B21">
        <v>6000</v>
      </c>
      <c r="C21">
        <v>8500</v>
      </c>
      <c r="D21">
        <v>20</v>
      </c>
      <c r="E21" t="s">
        <v>34</v>
      </c>
    </row>
    <row r="22" spans="1:5" x14ac:dyDescent="0.35">
      <c r="A22" t="s">
        <v>33</v>
      </c>
      <c r="B22">
        <v>3500</v>
      </c>
      <c r="C22">
        <v>5000</v>
      </c>
      <c r="D22">
        <v>40</v>
      </c>
      <c r="E22" t="s">
        <v>34</v>
      </c>
    </row>
    <row r="23" spans="1:5" x14ac:dyDescent="0.35">
      <c r="A23" t="s">
        <v>40</v>
      </c>
      <c r="B23">
        <v>6700</v>
      </c>
      <c r="C23">
        <v>11000</v>
      </c>
      <c r="D23">
        <v>50</v>
      </c>
      <c r="E23" t="s">
        <v>34</v>
      </c>
    </row>
    <row r="24" spans="1:5" x14ac:dyDescent="0.35">
      <c r="A24" t="s">
        <v>40</v>
      </c>
      <c r="B24">
        <v>5000</v>
      </c>
      <c r="C24">
        <v>6500</v>
      </c>
      <c r="D24">
        <v>30</v>
      </c>
      <c r="E24" t="s">
        <v>41</v>
      </c>
    </row>
    <row r="25" spans="1:5" x14ac:dyDescent="0.35">
      <c r="A25" t="s">
        <v>40</v>
      </c>
      <c r="B25">
        <v>2000</v>
      </c>
      <c r="C25">
        <v>3500</v>
      </c>
      <c r="D25">
        <v>25</v>
      </c>
      <c r="E25" t="s">
        <v>41</v>
      </c>
    </row>
    <row r="26" spans="1:5" x14ac:dyDescent="0.35">
      <c r="A26" t="s">
        <v>40</v>
      </c>
      <c r="B26">
        <v>4700</v>
      </c>
      <c r="C26">
        <v>10000</v>
      </c>
      <c r="D26">
        <v>28</v>
      </c>
      <c r="E26" t="s">
        <v>41</v>
      </c>
    </row>
    <row r="27" spans="1:5" x14ac:dyDescent="0.35">
      <c r="A27" t="s">
        <v>40</v>
      </c>
      <c r="B27">
        <v>8000</v>
      </c>
      <c r="C27">
        <v>10500</v>
      </c>
      <c r="D27">
        <v>20</v>
      </c>
      <c r="E27" t="s">
        <v>41</v>
      </c>
    </row>
    <row r="28" spans="1:5" x14ac:dyDescent="0.35">
      <c r="A28" t="s">
        <v>33</v>
      </c>
      <c r="B28">
        <v>6000</v>
      </c>
      <c r="C28">
        <v>8500</v>
      </c>
      <c r="D28">
        <v>20</v>
      </c>
      <c r="E28" t="s">
        <v>34</v>
      </c>
    </row>
    <row r="29" spans="1:5" x14ac:dyDescent="0.35">
      <c r="A29" t="s">
        <v>33</v>
      </c>
      <c r="B29">
        <v>3500</v>
      </c>
      <c r="C29">
        <v>7000</v>
      </c>
      <c r="D29">
        <v>30</v>
      </c>
      <c r="E29" t="s">
        <v>34</v>
      </c>
    </row>
    <row r="30" spans="1:5" x14ac:dyDescent="0.35">
      <c r="A30" t="s">
        <v>33</v>
      </c>
      <c r="B30">
        <v>6000</v>
      </c>
      <c r="C30">
        <v>11000</v>
      </c>
      <c r="D30">
        <v>65</v>
      </c>
      <c r="E30" t="s">
        <v>34</v>
      </c>
    </row>
    <row r="31" spans="1:5" x14ac:dyDescent="0.35">
      <c r="A31" t="s">
        <v>33</v>
      </c>
      <c r="B31">
        <v>4500</v>
      </c>
      <c r="C31">
        <v>5000</v>
      </c>
      <c r="D31">
        <v>35</v>
      </c>
      <c r="E31" t="s">
        <v>34</v>
      </c>
    </row>
    <row r="32" spans="1:5" x14ac:dyDescent="0.35">
      <c r="A32" t="s">
        <v>33</v>
      </c>
      <c r="B32">
        <v>6000</v>
      </c>
      <c r="C32">
        <v>8500</v>
      </c>
      <c r="D32">
        <v>20</v>
      </c>
      <c r="E32" t="s">
        <v>34</v>
      </c>
    </row>
    <row r="33" spans="1:5" x14ac:dyDescent="0.35">
      <c r="A33" t="s">
        <v>33</v>
      </c>
      <c r="B33">
        <v>6000</v>
      </c>
      <c r="C33">
        <v>11000</v>
      </c>
      <c r="D33">
        <v>65</v>
      </c>
      <c r="E33" t="s">
        <v>34</v>
      </c>
    </row>
    <row r="34" spans="1:5" x14ac:dyDescent="0.35">
      <c r="A34" t="s">
        <v>40</v>
      </c>
      <c r="B34">
        <v>6700</v>
      </c>
      <c r="C34">
        <v>11000</v>
      </c>
      <c r="D34">
        <v>50</v>
      </c>
      <c r="E34" t="s">
        <v>41</v>
      </c>
    </row>
    <row r="35" spans="1:5" x14ac:dyDescent="0.35">
      <c r="A35" t="s">
        <v>40</v>
      </c>
      <c r="B35">
        <v>8000</v>
      </c>
      <c r="C35">
        <v>10500</v>
      </c>
      <c r="D35">
        <v>20</v>
      </c>
      <c r="E35" t="s">
        <v>41</v>
      </c>
    </row>
    <row r="36" spans="1:5" x14ac:dyDescent="0.35">
      <c r="A36" t="s">
        <v>40</v>
      </c>
      <c r="B36">
        <v>2000</v>
      </c>
      <c r="C36">
        <v>3500</v>
      </c>
      <c r="D36">
        <v>25</v>
      </c>
      <c r="E36" t="s">
        <v>41</v>
      </c>
    </row>
    <row r="37" spans="1:5" x14ac:dyDescent="0.35">
      <c r="A37" t="s">
        <v>33</v>
      </c>
      <c r="B37">
        <v>3500</v>
      </c>
      <c r="C37">
        <v>5000</v>
      </c>
      <c r="D37">
        <v>40</v>
      </c>
      <c r="E37" t="s">
        <v>34</v>
      </c>
    </row>
    <row r="38" spans="1:5" x14ac:dyDescent="0.35">
      <c r="A38" t="s">
        <v>40</v>
      </c>
      <c r="B38">
        <v>4700</v>
      </c>
      <c r="C38">
        <v>10000</v>
      </c>
      <c r="D38">
        <v>28</v>
      </c>
      <c r="E38" t="s">
        <v>34</v>
      </c>
    </row>
    <row r="39" spans="1:5" x14ac:dyDescent="0.35">
      <c r="A39" t="s">
        <v>33</v>
      </c>
      <c r="B39">
        <v>4500</v>
      </c>
      <c r="C39">
        <v>5000</v>
      </c>
      <c r="D39">
        <v>35</v>
      </c>
      <c r="E39" t="s">
        <v>34</v>
      </c>
    </row>
    <row r="40" spans="1:5" x14ac:dyDescent="0.35">
      <c r="A40" t="s">
        <v>33</v>
      </c>
      <c r="B40">
        <v>3500</v>
      </c>
      <c r="C40">
        <v>7000</v>
      </c>
      <c r="D40">
        <v>30</v>
      </c>
      <c r="E40" t="s">
        <v>41</v>
      </c>
    </row>
    <row r="41" spans="1:5" x14ac:dyDescent="0.35">
      <c r="A41" t="s">
        <v>40</v>
      </c>
      <c r="B41">
        <v>5000</v>
      </c>
      <c r="C41">
        <v>6500</v>
      </c>
      <c r="D41">
        <v>30</v>
      </c>
      <c r="E41" t="s">
        <v>41</v>
      </c>
    </row>
    <row r="42" spans="1:5" x14ac:dyDescent="0.35">
      <c r="A42" t="s">
        <v>40</v>
      </c>
      <c r="B42">
        <v>2000</v>
      </c>
      <c r="C42">
        <v>3500</v>
      </c>
      <c r="D42">
        <v>25</v>
      </c>
      <c r="E42" t="s">
        <v>41</v>
      </c>
    </row>
    <row r="43" spans="1:5" x14ac:dyDescent="0.35">
      <c r="A43" t="s">
        <v>40</v>
      </c>
      <c r="B43">
        <v>6700</v>
      </c>
      <c r="C43">
        <v>11000</v>
      </c>
      <c r="D43">
        <v>50</v>
      </c>
      <c r="E43" t="s">
        <v>41</v>
      </c>
    </row>
    <row r="44" spans="1:5" x14ac:dyDescent="0.35">
      <c r="A44" t="s">
        <v>33</v>
      </c>
      <c r="B44">
        <v>6000</v>
      </c>
      <c r="C44">
        <v>8500</v>
      </c>
      <c r="D44">
        <v>20</v>
      </c>
      <c r="E44" t="s">
        <v>34</v>
      </c>
    </row>
    <row r="45" spans="1:5" x14ac:dyDescent="0.35">
      <c r="A45" t="s">
        <v>33</v>
      </c>
      <c r="B45">
        <v>6000</v>
      </c>
      <c r="C45">
        <v>11000</v>
      </c>
      <c r="D45">
        <v>65</v>
      </c>
      <c r="E45" t="s">
        <v>34</v>
      </c>
    </row>
    <row r="46" spans="1:5" x14ac:dyDescent="0.35">
      <c r="A46" t="s">
        <v>33</v>
      </c>
      <c r="B46">
        <v>4500</v>
      </c>
      <c r="C46">
        <v>5000</v>
      </c>
      <c r="D46">
        <v>35</v>
      </c>
      <c r="E46" t="s">
        <v>34</v>
      </c>
    </row>
    <row r="47" spans="1:5" x14ac:dyDescent="0.35">
      <c r="A47" t="s">
        <v>33</v>
      </c>
      <c r="B47">
        <v>3500</v>
      </c>
      <c r="C47">
        <v>7000</v>
      </c>
      <c r="D47">
        <v>30</v>
      </c>
      <c r="E47" t="s">
        <v>34</v>
      </c>
    </row>
    <row r="48" spans="1:5" x14ac:dyDescent="0.35">
      <c r="A48" t="s">
        <v>40</v>
      </c>
      <c r="B48">
        <v>5000</v>
      </c>
      <c r="C48">
        <v>6500</v>
      </c>
      <c r="D48">
        <v>30</v>
      </c>
      <c r="E48" t="s">
        <v>41</v>
      </c>
    </row>
    <row r="49" spans="1:5" x14ac:dyDescent="0.35">
      <c r="A49" t="s">
        <v>33</v>
      </c>
      <c r="B49">
        <v>3500</v>
      </c>
      <c r="C49">
        <v>5000</v>
      </c>
      <c r="D49">
        <v>40</v>
      </c>
      <c r="E49" t="s">
        <v>34</v>
      </c>
    </row>
    <row r="50" spans="1:5" x14ac:dyDescent="0.35">
      <c r="A50" t="s">
        <v>40</v>
      </c>
      <c r="B50">
        <v>4700</v>
      </c>
      <c r="C50">
        <v>10000</v>
      </c>
      <c r="D50">
        <v>28</v>
      </c>
      <c r="E50" t="s">
        <v>41</v>
      </c>
    </row>
    <row r="51" spans="1:5" x14ac:dyDescent="0.35">
      <c r="A51" t="s">
        <v>40</v>
      </c>
      <c r="B51">
        <v>8000</v>
      </c>
      <c r="C51">
        <v>10500</v>
      </c>
      <c r="D51">
        <v>20</v>
      </c>
      <c r="E51" t="s">
        <v>41</v>
      </c>
    </row>
    <row r="52" spans="1:5" x14ac:dyDescent="0.35">
      <c r="A52" t="s">
        <v>33</v>
      </c>
      <c r="B52">
        <v>3500</v>
      </c>
      <c r="C52">
        <v>5000</v>
      </c>
      <c r="D52">
        <v>40</v>
      </c>
      <c r="E52" t="s">
        <v>41</v>
      </c>
    </row>
    <row r="53" spans="1:5" x14ac:dyDescent="0.35">
      <c r="A53" t="s">
        <v>40</v>
      </c>
      <c r="B53">
        <v>8000</v>
      </c>
      <c r="C53">
        <v>10500</v>
      </c>
      <c r="D53">
        <v>20</v>
      </c>
      <c r="E53" t="s">
        <v>41</v>
      </c>
    </row>
    <row r="54" spans="1:5" x14ac:dyDescent="0.35">
      <c r="A54" t="s">
        <v>33</v>
      </c>
      <c r="B54">
        <v>3500</v>
      </c>
      <c r="C54">
        <v>7000</v>
      </c>
      <c r="D54">
        <v>30</v>
      </c>
      <c r="E54" t="s">
        <v>34</v>
      </c>
    </row>
    <row r="55" spans="1:5" x14ac:dyDescent="0.35">
      <c r="A55" t="s">
        <v>40</v>
      </c>
      <c r="B55">
        <v>2000</v>
      </c>
      <c r="C55">
        <v>3500</v>
      </c>
      <c r="D55">
        <v>25</v>
      </c>
      <c r="E55" t="s">
        <v>41</v>
      </c>
    </row>
    <row r="56" spans="1:5" x14ac:dyDescent="0.35">
      <c r="A56" t="s">
        <v>33</v>
      </c>
      <c r="B56">
        <v>6000</v>
      </c>
      <c r="C56">
        <v>8500</v>
      </c>
      <c r="D56">
        <v>20</v>
      </c>
      <c r="E56" t="s">
        <v>34</v>
      </c>
    </row>
    <row r="57" spans="1:5" x14ac:dyDescent="0.35">
      <c r="A57" t="s">
        <v>33</v>
      </c>
      <c r="B57">
        <v>4500</v>
      </c>
      <c r="C57">
        <v>5000</v>
      </c>
      <c r="D57">
        <v>35</v>
      </c>
      <c r="E57" t="s">
        <v>34</v>
      </c>
    </row>
    <row r="58" spans="1:5" x14ac:dyDescent="0.35">
      <c r="A58" t="s">
        <v>40</v>
      </c>
      <c r="B58">
        <v>5000</v>
      </c>
      <c r="C58">
        <v>6500</v>
      </c>
      <c r="D58">
        <v>30</v>
      </c>
      <c r="E58" t="s">
        <v>41</v>
      </c>
    </row>
    <row r="59" spans="1:5" x14ac:dyDescent="0.35">
      <c r="A59" t="s">
        <v>40</v>
      </c>
      <c r="B59">
        <v>4700</v>
      </c>
      <c r="C59">
        <v>10000</v>
      </c>
      <c r="D59">
        <v>28</v>
      </c>
      <c r="E59" t="s">
        <v>34</v>
      </c>
    </row>
    <row r="60" spans="1:5" x14ac:dyDescent="0.35">
      <c r="A60" t="s">
        <v>33</v>
      </c>
      <c r="B60">
        <v>6000</v>
      </c>
      <c r="C60">
        <v>11000</v>
      </c>
      <c r="D60">
        <v>65</v>
      </c>
      <c r="E60" t="s">
        <v>41</v>
      </c>
    </row>
    <row r="61" spans="1:5" x14ac:dyDescent="0.35">
      <c r="A61" t="s">
        <v>40</v>
      </c>
      <c r="B61">
        <v>6700</v>
      </c>
      <c r="C61">
        <v>11000</v>
      </c>
      <c r="D61">
        <v>50</v>
      </c>
      <c r="E61" t="s">
        <v>41</v>
      </c>
    </row>
    <row r="62" spans="1:5" x14ac:dyDescent="0.35">
      <c r="A62" t="s">
        <v>40</v>
      </c>
      <c r="B62">
        <v>6700</v>
      </c>
      <c r="C62">
        <v>11000</v>
      </c>
      <c r="D62">
        <v>50</v>
      </c>
      <c r="E62" t="s">
        <v>41</v>
      </c>
    </row>
    <row r="63" spans="1:5" x14ac:dyDescent="0.35">
      <c r="A63" t="s">
        <v>33</v>
      </c>
      <c r="B63">
        <v>3500</v>
      </c>
      <c r="C63">
        <v>7000</v>
      </c>
      <c r="D63">
        <v>30</v>
      </c>
      <c r="E63" t="s">
        <v>41</v>
      </c>
    </row>
    <row r="64" spans="1:5" x14ac:dyDescent="0.35">
      <c r="A64" t="s">
        <v>40</v>
      </c>
      <c r="B64">
        <v>4700</v>
      </c>
      <c r="C64">
        <v>10000</v>
      </c>
      <c r="D64">
        <v>28</v>
      </c>
      <c r="E64" t="s">
        <v>41</v>
      </c>
    </row>
    <row r="65" spans="1:5" x14ac:dyDescent="0.35">
      <c r="A65" t="s">
        <v>33</v>
      </c>
      <c r="B65">
        <v>3500</v>
      </c>
      <c r="C65">
        <v>5000</v>
      </c>
      <c r="D65">
        <v>40</v>
      </c>
      <c r="E65" t="s">
        <v>34</v>
      </c>
    </row>
    <row r="66" spans="1:5" x14ac:dyDescent="0.35">
      <c r="A66" t="s">
        <v>33</v>
      </c>
      <c r="B66">
        <v>6000</v>
      </c>
      <c r="C66">
        <v>8500</v>
      </c>
      <c r="D66">
        <v>20</v>
      </c>
      <c r="E66" t="s">
        <v>34</v>
      </c>
    </row>
    <row r="67" spans="1:5" x14ac:dyDescent="0.35">
      <c r="A67" t="s">
        <v>40</v>
      </c>
      <c r="B67">
        <v>5000</v>
      </c>
      <c r="C67">
        <v>6500</v>
      </c>
      <c r="D67">
        <v>30</v>
      </c>
      <c r="E67" t="s">
        <v>41</v>
      </c>
    </row>
    <row r="68" spans="1:5" x14ac:dyDescent="0.35">
      <c r="A68" t="s">
        <v>40</v>
      </c>
      <c r="B68">
        <v>2000</v>
      </c>
      <c r="C68">
        <v>3500</v>
      </c>
      <c r="D68">
        <v>25</v>
      </c>
      <c r="E68" t="s">
        <v>41</v>
      </c>
    </row>
    <row r="69" spans="1:5" x14ac:dyDescent="0.35">
      <c r="A69" t="s">
        <v>33</v>
      </c>
      <c r="B69">
        <v>4500</v>
      </c>
      <c r="C69">
        <v>5000</v>
      </c>
      <c r="D69">
        <v>35</v>
      </c>
      <c r="E69" t="s">
        <v>34</v>
      </c>
    </row>
    <row r="70" spans="1:5" x14ac:dyDescent="0.35">
      <c r="A70" t="s">
        <v>33</v>
      </c>
      <c r="B70">
        <v>6000</v>
      </c>
      <c r="C70">
        <v>11000</v>
      </c>
      <c r="D70">
        <v>65</v>
      </c>
      <c r="E70" t="s">
        <v>34</v>
      </c>
    </row>
    <row r="71" spans="1:5" x14ac:dyDescent="0.35">
      <c r="A71" t="s">
        <v>40</v>
      </c>
      <c r="B71">
        <v>8000</v>
      </c>
      <c r="C71">
        <v>10500</v>
      </c>
      <c r="D71">
        <v>20</v>
      </c>
      <c r="E71" t="s">
        <v>41</v>
      </c>
    </row>
    <row r="72" spans="1:5" x14ac:dyDescent="0.35">
      <c r="A72" t="s">
        <v>40</v>
      </c>
      <c r="B72">
        <v>5000</v>
      </c>
      <c r="C72">
        <v>6500</v>
      </c>
      <c r="D72">
        <v>30</v>
      </c>
      <c r="E72" t="s">
        <v>41</v>
      </c>
    </row>
    <row r="73" spans="1:5" x14ac:dyDescent="0.35">
      <c r="A73" t="s">
        <v>40</v>
      </c>
      <c r="B73">
        <v>2000</v>
      </c>
      <c r="C73">
        <v>3500</v>
      </c>
      <c r="D73">
        <v>25</v>
      </c>
      <c r="E73" t="s">
        <v>41</v>
      </c>
    </row>
    <row r="74" spans="1:5" x14ac:dyDescent="0.35">
      <c r="A74" t="s">
        <v>33</v>
      </c>
      <c r="B74">
        <v>3500</v>
      </c>
      <c r="C74">
        <v>7000</v>
      </c>
      <c r="D74">
        <v>30</v>
      </c>
      <c r="E74" t="s">
        <v>34</v>
      </c>
    </row>
    <row r="75" spans="1:5" x14ac:dyDescent="0.35">
      <c r="A75" t="s">
        <v>40</v>
      </c>
      <c r="B75">
        <v>6700</v>
      </c>
      <c r="C75">
        <v>11000</v>
      </c>
      <c r="D75">
        <v>50</v>
      </c>
      <c r="E75" t="s">
        <v>41</v>
      </c>
    </row>
    <row r="76" spans="1:5" x14ac:dyDescent="0.35">
      <c r="A76" t="s">
        <v>40</v>
      </c>
      <c r="B76">
        <v>8000</v>
      </c>
      <c r="C76">
        <v>10500</v>
      </c>
      <c r="D76">
        <v>20</v>
      </c>
      <c r="E76" t="s">
        <v>41</v>
      </c>
    </row>
    <row r="77" spans="1:5" x14ac:dyDescent="0.35">
      <c r="A77" t="s">
        <v>40</v>
      </c>
      <c r="B77">
        <v>4700</v>
      </c>
      <c r="C77">
        <v>10000</v>
      </c>
      <c r="D77">
        <v>28</v>
      </c>
      <c r="E77" t="s">
        <v>41</v>
      </c>
    </row>
    <row r="78" spans="1:5" x14ac:dyDescent="0.35">
      <c r="A78" t="s">
        <v>33</v>
      </c>
      <c r="B78">
        <v>6000</v>
      </c>
      <c r="C78">
        <v>11000</v>
      </c>
      <c r="D78">
        <v>65</v>
      </c>
      <c r="E78" t="s">
        <v>41</v>
      </c>
    </row>
    <row r="79" spans="1:5" x14ac:dyDescent="0.35">
      <c r="A79" t="s">
        <v>33</v>
      </c>
      <c r="B79">
        <v>4500</v>
      </c>
      <c r="C79">
        <v>5000</v>
      </c>
      <c r="D79">
        <v>35</v>
      </c>
      <c r="E79" t="s">
        <v>34</v>
      </c>
    </row>
    <row r="80" spans="1:5" x14ac:dyDescent="0.35">
      <c r="A80" t="s">
        <v>33</v>
      </c>
      <c r="B80">
        <v>6000</v>
      </c>
      <c r="C80">
        <v>8500</v>
      </c>
      <c r="D80">
        <v>20</v>
      </c>
      <c r="E80" t="s">
        <v>34</v>
      </c>
    </row>
    <row r="81" spans="1:5" x14ac:dyDescent="0.35">
      <c r="A81" t="s">
        <v>33</v>
      </c>
      <c r="B81">
        <v>3500</v>
      </c>
      <c r="C81">
        <v>5000</v>
      </c>
      <c r="D81">
        <v>40</v>
      </c>
      <c r="E81" t="s">
        <v>34</v>
      </c>
    </row>
    <row r="82" spans="1:5" x14ac:dyDescent="0.35">
      <c r="A82" t="s">
        <v>40</v>
      </c>
      <c r="B82">
        <v>5000</v>
      </c>
      <c r="C82">
        <v>6500</v>
      </c>
      <c r="D82">
        <v>30</v>
      </c>
      <c r="E82" t="s">
        <v>41</v>
      </c>
    </row>
    <row r="83" spans="1:5" x14ac:dyDescent="0.35">
      <c r="A83" t="s">
        <v>40</v>
      </c>
      <c r="B83">
        <v>2000</v>
      </c>
      <c r="C83">
        <v>3500</v>
      </c>
      <c r="D83">
        <v>25</v>
      </c>
      <c r="E83" t="s">
        <v>41</v>
      </c>
    </row>
    <row r="84" spans="1:5" x14ac:dyDescent="0.35">
      <c r="A84" t="s">
        <v>40</v>
      </c>
      <c r="B84">
        <v>4700</v>
      </c>
      <c r="C84">
        <v>10000</v>
      </c>
      <c r="D84">
        <v>28</v>
      </c>
      <c r="E84" t="s">
        <v>41</v>
      </c>
    </row>
    <row r="85" spans="1:5" x14ac:dyDescent="0.35">
      <c r="A85" t="s">
        <v>33</v>
      </c>
      <c r="B85">
        <v>3500</v>
      </c>
      <c r="C85">
        <v>5000</v>
      </c>
      <c r="D85">
        <v>40</v>
      </c>
      <c r="E85" t="s">
        <v>34</v>
      </c>
    </row>
    <row r="86" spans="1:5" x14ac:dyDescent="0.35">
      <c r="A86" t="s">
        <v>40</v>
      </c>
      <c r="B86">
        <v>6700</v>
      </c>
      <c r="C86">
        <v>11000</v>
      </c>
      <c r="D86">
        <v>50</v>
      </c>
      <c r="E86" t="s">
        <v>41</v>
      </c>
    </row>
    <row r="87" spans="1:5" x14ac:dyDescent="0.35">
      <c r="A87" t="s">
        <v>40</v>
      </c>
      <c r="B87">
        <v>8000</v>
      </c>
      <c r="C87">
        <v>10500</v>
      </c>
      <c r="D87">
        <v>20</v>
      </c>
      <c r="E87" t="s">
        <v>41</v>
      </c>
    </row>
    <row r="88" spans="1:5" x14ac:dyDescent="0.35">
      <c r="A88" t="s">
        <v>33</v>
      </c>
      <c r="B88">
        <v>6000</v>
      </c>
      <c r="C88">
        <v>11000</v>
      </c>
      <c r="D88">
        <v>65</v>
      </c>
      <c r="E88" t="s">
        <v>34</v>
      </c>
    </row>
    <row r="89" spans="1:5" x14ac:dyDescent="0.35">
      <c r="A89" t="s">
        <v>33</v>
      </c>
      <c r="B89">
        <v>3500</v>
      </c>
      <c r="C89">
        <v>7000</v>
      </c>
      <c r="D89">
        <v>30</v>
      </c>
      <c r="E89" t="s">
        <v>34</v>
      </c>
    </row>
    <row r="90" spans="1:5" x14ac:dyDescent="0.35">
      <c r="A90" t="s">
        <v>33</v>
      </c>
      <c r="B90">
        <v>6000</v>
      </c>
      <c r="C90">
        <v>8500</v>
      </c>
      <c r="D90">
        <v>20</v>
      </c>
      <c r="E90" t="s">
        <v>34</v>
      </c>
    </row>
    <row r="91" spans="1:5" x14ac:dyDescent="0.35">
      <c r="A91" t="s">
        <v>33</v>
      </c>
      <c r="B91">
        <v>4500</v>
      </c>
      <c r="C91">
        <v>5000</v>
      </c>
      <c r="D91">
        <v>35</v>
      </c>
      <c r="E91" t="s">
        <v>34</v>
      </c>
    </row>
    <row r="92" spans="1:5" x14ac:dyDescent="0.35">
      <c r="A92" t="s">
        <v>33</v>
      </c>
      <c r="B92">
        <v>6000</v>
      </c>
      <c r="C92">
        <v>11000</v>
      </c>
      <c r="D92">
        <v>65</v>
      </c>
      <c r="E92" t="s">
        <v>34</v>
      </c>
    </row>
    <row r="93" spans="1:5" x14ac:dyDescent="0.35">
      <c r="A93" t="s">
        <v>40</v>
      </c>
      <c r="B93">
        <v>2000</v>
      </c>
      <c r="C93">
        <v>3500</v>
      </c>
      <c r="D93">
        <v>25</v>
      </c>
      <c r="E93" t="s">
        <v>41</v>
      </c>
    </row>
    <row r="94" spans="1:5" x14ac:dyDescent="0.35">
      <c r="A94" t="s">
        <v>40</v>
      </c>
      <c r="B94">
        <v>4700</v>
      </c>
      <c r="C94">
        <v>10000</v>
      </c>
      <c r="D94">
        <v>28</v>
      </c>
      <c r="E94" t="s">
        <v>41</v>
      </c>
    </row>
    <row r="95" spans="1:5" x14ac:dyDescent="0.35">
      <c r="A95" t="s">
        <v>33</v>
      </c>
      <c r="B95">
        <v>3500</v>
      </c>
      <c r="C95">
        <v>5000</v>
      </c>
      <c r="D95">
        <v>40</v>
      </c>
      <c r="E95" t="s">
        <v>34</v>
      </c>
    </row>
    <row r="96" spans="1:5" x14ac:dyDescent="0.35">
      <c r="A96" t="s">
        <v>33</v>
      </c>
      <c r="B96">
        <v>6000</v>
      </c>
      <c r="C96">
        <v>8500</v>
      </c>
      <c r="D96">
        <v>20</v>
      </c>
      <c r="E96" t="s">
        <v>34</v>
      </c>
    </row>
    <row r="97" spans="1:5" x14ac:dyDescent="0.35">
      <c r="A97" t="s">
        <v>40</v>
      </c>
      <c r="B97">
        <v>8000</v>
      </c>
      <c r="C97">
        <v>10500</v>
      </c>
      <c r="D97">
        <v>20</v>
      </c>
      <c r="E97" t="s">
        <v>41</v>
      </c>
    </row>
    <row r="98" spans="1:5" x14ac:dyDescent="0.35">
      <c r="A98" t="s">
        <v>33</v>
      </c>
      <c r="B98">
        <v>3500</v>
      </c>
      <c r="C98">
        <v>7000</v>
      </c>
      <c r="D98">
        <v>30</v>
      </c>
      <c r="E98" t="s">
        <v>34</v>
      </c>
    </row>
    <row r="99" spans="1:5" x14ac:dyDescent="0.35">
      <c r="A99" t="s">
        <v>33</v>
      </c>
      <c r="B99">
        <v>4500</v>
      </c>
      <c r="C99">
        <v>5000</v>
      </c>
      <c r="D99">
        <v>35</v>
      </c>
      <c r="E99" t="s">
        <v>34</v>
      </c>
    </row>
    <row r="100" spans="1:5" x14ac:dyDescent="0.35">
      <c r="A100" t="s">
        <v>40</v>
      </c>
      <c r="B100">
        <v>5000</v>
      </c>
      <c r="C100">
        <v>6500</v>
      </c>
      <c r="D100">
        <v>30</v>
      </c>
      <c r="E100" t="s">
        <v>41</v>
      </c>
    </row>
    <row r="101" spans="1:5" x14ac:dyDescent="0.35">
      <c r="A101" t="s">
        <v>40</v>
      </c>
      <c r="B101">
        <v>6700</v>
      </c>
      <c r="C101">
        <v>11000</v>
      </c>
      <c r="D101">
        <v>50</v>
      </c>
      <c r="E101" t="s">
        <v>41</v>
      </c>
    </row>
  </sheetData>
  <autoFilter ref="A1:E101" xr:uid="{80BBE113-132D-4100-8529-6437438FF64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DD9F-5FA2-41AF-8858-60433A31F667}">
  <dimension ref="A1:H51"/>
  <sheetViews>
    <sheetView workbookViewId="0">
      <selection activeCell="H3" sqref="H3"/>
    </sheetView>
  </sheetViews>
  <sheetFormatPr defaultRowHeight="14.5" x14ac:dyDescent="0.35"/>
  <cols>
    <col min="5" max="5" width="12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H1" t="s">
        <v>44</v>
      </c>
    </row>
    <row r="2" spans="1:8" x14ac:dyDescent="0.35">
      <c r="A2" t="s">
        <v>33</v>
      </c>
      <c r="B2">
        <v>6000</v>
      </c>
      <c r="C2">
        <v>11000</v>
      </c>
      <c r="D2">
        <v>65</v>
      </c>
      <c r="E2" t="s">
        <v>34</v>
      </c>
      <c r="F2">
        <f t="shared" ref="F2:F5" si="0">((C2/B2)-1)/D2</f>
        <v>1.282051282051282E-2</v>
      </c>
      <c r="H2">
        <f>AVERAGE(G6:G51)</f>
        <v>1.4173429741568809E-2</v>
      </c>
    </row>
    <row r="3" spans="1:8" x14ac:dyDescent="0.35">
      <c r="A3" t="s">
        <v>33</v>
      </c>
      <c r="B3">
        <v>3500</v>
      </c>
      <c r="C3">
        <v>7000</v>
      </c>
      <c r="D3">
        <v>30</v>
      </c>
      <c r="E3" t="s">
        <v>34</v>
      </c>
      <c r="F3">
        <f t="shared" si="0"/>
        <v>3.3333333333333333E-2</v>
      </c>
    </row>
    <row r="4" spans="1:8" x14ac:dyDescent="0.35">
      <c r="A4" t="s">
        <v>33</v>
      </c>
      <c r="B4">
        <v>3500</v>
      </c>
      <c r="C4">
        <v>5000</v>
      </c>
      <c r="D4">
        <v>40</v>
      </c>
      <c r="E4" t="s">
        <v>34</v>
      </c>
      <c r="F4">
        <f t="shared" si="0"/>
        <v>1.0714285714285714E-2</v>
      </c>
    </row>
    <row r="5" spans="1:8" x14ac:dyDescent="0.35">
      <c r="A5" t="s">
        <v>33</v>
      </c>
      <c r="B5">
        <v>6000</v>
      </c>
      <c r="C5">
        <v>8500</v>
      </c>
      <c r="D5">
        <v>20</v>
      </c>
      <c r="E5" t="s">
        <v>34</v>
      </c>
      <c r="F5">
        <f t="shared" si="0"/>
        <v>2.0833333333333336E-2</v>
      </c>
    </row>
    <row r="6" spans="1:8" x14ac:dyDescent="0.35">
      <c r="A6" t="s">
        <v>33</v>
      </c>
      <c r="B6">
        <v>4500</v>
      </c>
      <c r="C6">
        <v>5000</v>
      </c>
      <c r="D6">
        <v>35</v>
      </c>
      <c r="E6" s="1" t="s">
        <v>41</v>
      </c>
      <c r="F6">
        <f>((C6/B6)-1)/D6</f>
        <v>3.1746031746031759E-3</v>
      </c>
      <c r="G6">
        <f>GEOMEAN(F6:F7)</f>
        <v>6.3796583529246078E-3</v>
      </c>
    </row>
    <row r="7" spans="1:8" x14ac:dyDescent="0.35">
      <c r="A7" t="s">
        <v>33</v>
      </c>
      <c r="B7">
        <v>6000</v>
      </c>
      <c r="C7">
        <v>11000</v>
      </c>
      <c r="D7">
        <v>65</v>
      </c>
      <c r="E7" t="s">
        <v>34</v>
      </c>
      <c r="F7">
        <f>((C7/B7)-1)/D7</f>
        <v>1.282051282051282E-2</v>
      </c>
    </row>
    <row r="8" spans="1:8" x14ac:dyDescent="0.35">
      <c r="A8" t="s">
        <v>33</v>
      </c>
      <c r="B8">
        <v>3500</v>
      </c>
      <c r="C8">
        <v>7000</v>
      </c>
      <c r="D8">
        <v>30</v>
      </c>
      <c r="E8" t="s">
        <v>34</v>
      </c>
      <c r="F8">
        <f t="shared" ref="F8:F9" si="1">((C8/B8)-1)/D8</f>
        <v>3.3333333333333333E-2</v>
      </c>
    </row>
    <row r="9" spans="1:8" x14ac:dyDescent="0.35">
      <c r="A9" t="s">
        <v>33</v>
      </c>
      <c r="B9">
        <v>3500</v>
      </c>
      <c r="C9">
        <v>5000</v>
      </c>
      <c r="D9">
        <v>40</v>
      </c>
      <c r="E9" s="1" t="s">
        <v>41</v>
      </c>
      <c r="F9">
        <f t="shared" si="1"/>
        <v>1.0714285714285714E-2</v>
      </c>
    </row>
    <row r="10" spans="1:8" x14ac:dyDescent="0.35">
      <c r="A10" t="s">
        <v>33</v>
      </c>
      <c r="B10">
        <v>4500</v>
      </c>
      <c r="C10">
        <v>5000</v>
      </c>
      <c r="D10">
        <v>35</v>
      </c>
      <c r="E10" s="1" t="s">
        <v>41</v>
      </c>
      <c r="F10">
        <f>((C10/B10)-1)/D10</f>
        <v>3.1746031746031759E-3</v>
      </c>
      <c r="G10">
        <f t="shared" ref="G7:G51" si="2">GEOMEAN(F10:F11)</f>
        <v>8.1325006079044446E-3</v>
      </c>
    </row>
    <row r="11" spans="1:8" x14ac:dyDescent="0.35">
      <c r="A11" t="s">
        <v>33</v>
      </c>
      <c r="B11">
        <v>6000</v>
      </c>
      <c r="C11">
        <v>8500</v>
      </c>
      <c r="D11">
        <v>20</v>
      </c>
      <c r="E11" t="s">
        <v>34</v>
      </c>
      <c r="F11">
        <f>((C11/B11)-1)/D11</f>
        <v>2.0833333333333336E-2</v>
      </c>
    </row>
    <row r="12" spans="1:8" x14ac:dyDescent="0.35">
      <c r="A12" t="s">
        <v>33</v>
      </c>
      <c r="B12">
        <v>3500</v>
      </c>
      <c r="C12">
        <v>5000</v>
      </c>
      <c r="D12">
        <v>40</v>
      </c>
      <c r="E12" t="s">
        <v>34</v>
      </c>
      <c r="F12">
        <f t="shared" ref="F12:F20" si="3">((C12/B12)-1)/D12</f>
        <v>1.0714285714285714E-2</v>
      </c>
    </row>
    <row r="13" spans="1:8" x14ac:dyDescent="0.35">
      <c r="A13" t="s">
        <v>33</v>
      </c>
      <c r="B13">
        <v>6000</v>
      </c>
      <c r="C13">
        <v>8500</v>
      </c>
      <c r="D13">
        <v>20</v>
      </c>
      <c r="E13" t="s">
        <v>34</v>
      </c>
      <c r="F13">
        <f t="shared" si="3"/>
        <v>2.0833333333333336E-2</v>
      </c>
    </row>
    <row r="14" spans="1:8" x14ac:dyDescent="0.35">
      <c r="A14" t="s">
        <v>33</v>
      </c>
      <c r="B14">
        <v>3500</v>
      </c>
      <c r="C14">
        <v>7000</v>
      </c>
      <c r="D14">
        <v>30</v>
      </c>
      <c r="E14" t="s">
        <v>34</v>
      </c>
      <c r="F14">
        <f t="shared" si="3"/>
        <v>3.3333333333333333E-2</v>
      </c>
    </row>
    <row r="15" spans="1:8" x14ac:dyDescent="0.35">
      <c r="A15" t="s">
        <v>33</v>
      </c>
      <c r="B15">
        <v>6000</v>
      </c>
      <c r="C15">
        <v>11000</v>
      </c>
      <c r="D15">
        <v>65</v>
      </c>
      <c r="E15" t="s">
        <v>34</v>
      </c>
      <c r="F15">
        <f t="shared" si="3"/>
        <v>1.282051282051282E-2</v>
      </c>
    </row>
    <row r="16" spans="1:8" x14ac:dyDescent="0.35">
      <c r="A16" t="s">
        <v>33</v>
      </c>
      <c r="B16">
        <v>4500</v>
      </c>
      <c r="C16">
        <v>5000</v>
      </c>
      <c r="D16">
        <v>35</v>
      </c>
      <c r="E16" t="s">
        <v>34</v>
      </c>
      <c r="F16">
        <f t="shared" si="3"/>
        <v>3.1746031746031759E-3</v>
      </c>
    </row>
    <row r="17" spans="1:7" x14ac:dyDescent="0.35">
      <c r="A17" t="s">
        <v>33</v>
      </c>
      <c r="B17">
        <v>6000</v>
      </c>
      <c r="C17">
        <v>8500</v>
      </c>
      <c r="D17">
        <v>20</v>
      </c>
      <c r="E17" t="s">
        <v>34</v>
      </c>
      <c r="F17">
        <f t="shared" si="3"/>
        <v>2.0833333333333336E-2</v>
      </c>
    </row>
    <row r="18" spans="1:7" x14ac:dyDescent="0.35">
      <c r="A18" t="s">
        <v>33</v>
      </c>
      <c r="B18">
        <v>6000</v>
      </c>
      <c r="C18">
        <v>11000</v>
      </c>
      <c r="D18">
        <v>65</v>
      </c>
      <c r="E18" t="s">
        <v>34</v>
      </c>
      <c r="F18">
        <f t="shared" si="3"/>
        <v>1.282051282051282E-2</v>
      </c>
    </row>
    <row r="19" spans="1:7" x14ac:dyDescent="0.35">
      <c r="A19" t="s">
        <v>33</v>
      </c>
      <c r="B19">
        <v>3500</v>
      </c>
      <c r="C19">
        <v>5000</v>
      </c>
      <c r="D19">
        <v>40</v>
      </c>
      <c r="E19" t="s">
        <v>34</v>
      </c>
      <c r="F19">
        <f t="shared" si="3"/>
        <v>1.0714285714285714E-2</v>
      </c>
    </row>
    <row r="20" spans="1:7" x14ac:dyDescent="0.35">
      <c r="A20" t="s">
        <v>33</v>
      </c>
      <c r="B20">
        <v>4500</v>
      </c>
      <c r="C20">
        <v>5000</v>
      </c>
      <c r="D20">
        <v>35</v>
      </c>
      <c r="E20" t="s">
        <v>34</v>
      </c>
      <c r="F20">
        <f t="shared" si="3"/>
        <v>3.1746031746031759E-3</v>
      </c>
    </row>
    <row r="21" spans="1:7" x14ac:dyDescent="0.35">
      <c r="A21" t="s">
        <v>33</v>
      </c>
      <c r="B21">
        <v>3500</v>
      </c>
      <c r="C21">
        <v>7000</v>
      </c>
      <c r="D21">
        <v>30</v>
      </c>
      <c r="E21" s="1" t="s">
        <v>41</v>
      </c>
      <c r="F21">
        <f>((C21/B21)-1)/D21</f>
        <v>3.3333333333333333E-2</v>
      </c>
      <c r="G21">
        <f t="shared" si="2"/>
        <v>2.6352313834736494E-2</v>
      </c>
    </row>
    <row r="22" spans="1:7" x14ac:dyDescent="0.35">
      <c r="A22" t="s">
        <v>33</v>
      </c>
      <c r="B22">
        <v>6000</v>
      </c>
      <c r="C22">
        <v>8500</v>
      </c>
      <c r="D22">
        <v>20</v>
      </c>
      <c r="E22" t="s">
        <v>34</v>
      </c>
      <c r="F22">
        <f>((C22/B22)-1)/D22</f>
        <v>2.0833333333333336E-2</v>
      </c>
    </row>
    <row r="23" spans="1:7" x14ac:dyDescent="0.35">
      <c r="A23" t="s">
        <v>33</v>
      </c>
      <c r="B23">
        <v>6000</v>
      </c>
      <c r="C23">
        <v>11000</v>
      </c>
      <c r="D23">
        <v>65</v>
      </c>
      <c r="E23" t="s">
        <v>34</v>
      </c>
      <c r="F23">
        <f t="shared" ref="F23:F51" si="4">((C23/B23)-1)/D23</f>
        <v>1.282051282051282E-2</v>
      </c>
    </row>
    <row r="24" spans="1:7" x14ac:dyDescent="0.35">
      <c r="A24" t="s">
        <v>33</v>
      </c>
      <c r="B24">
        <v>4500</v>
      </c>
      <c r="C24">
        <v>5000</v>
      </c>
      <c r="D24">
        <v>35</v>
      </c>
      <c r="E24" t="s">
        <v>34</v>
      </c>
      <c r="F24">
        <f t="shared" si="4"/>
        <v>3.1746031746031759E-3</v>
      </c>
    </row>
    <row r="25" spans="1:7" x14ac:dyDescent="0.35">
      <c r="A25" t="s">
        <v>33</v>
      </c>
      <c r="B25">
        <v>3500</v>
      </c>
      <c r="C25">
        <v>7000</v>
      </c>
      <c r="D25">
        <v>30</v>
      </c>
      <c r="E25" t="s">
        <v>34</v>
      </c>
      <c r="F25">
        <f t="shared" si="4"/>
        <v>3.3333333333333333E-2</v>
      </c>
    </row>
    <row r="26" spans="1:7" x14ac:dyDescent="0.35">
      <c r="A26" t="s">
        <v>33</v>
      </c>
      <c r="B26">
        <v>3500</v>
      </c>
      <c r="C26">
        <v>5000</v>
      </c>
      <c r="D26">
        <v>40</v>
      </c>
      <c r="E26" t="s">
        <v>34</v>
      </c>
      <c r="F26">
        <f t="shared" si="4"/>
        <v>1.0714285714285714E-2</v>
      </c>
    </row>
    <row r="27" spans="1:7" x14ac:dyDescent="0.35">
      <c r="A27" t="s">
        <v>33</v>
      </c>
      <c r="B27">
        <v>3500</v>
      </c>
      <c r="C27">
        <v>5000</v>
      </c>
      <c r="D27">
        <v>40</v>
      </c>
      <c r="E27" s="1" t="s">
        <v>41</v>
      </c>
      <c r="F27">
        <f t="shared" si="4"/>
        <v>1.0714285714285714E-2</v>
      </c>
      <c r="G27">
        <f t="shared" si="2"/>
        <v>1.8898223650461361E-2</v>
      </c>
    </row>
    <row r="28" spans="1:7" x14ac:dyDescent="0.35">
      <c r="A28" t="s">
        <v>33</v>
      </c>
      <c r="B28">
        <v>3500</v>
      </c>
      <c r="C28">
        <v>7000</v>
      </c>
      <c r="D28">
        <v>30</v>
      </c>
      <c r="E28" t="s">
        <v>34</v>
      </c>
      <c r="F28">
        <f t="shared" si="4"/>
        <v>3.3333333333333333E-2</v>
      </c>
    </row>
    <row r="29" spans="1:7" x14ac:dyDescent="0.35">
      <c r="A29" t="s">
        <v>33</v>
      </c>
      <c r="B29">
        <v>6000</v>
      </c>
      <c r="C29">
        <v>8500</v>
      </c>
      <c r="D29">
        <v>20</v>
      </c>
      <c r="E29" t="s">
        <v>34</v>
      </c>
      <c r="F29">
        <f t="shared" si="4"/>
        <v>2.0833333333333336E-2</v>
      </c>
    </row>
    <row r="30" spans="1:7" x14ac:dyDescent="0.35">
      <c r="A30" t="s">
        <v>33</v>
      </c>
      <c r="B30">
        <v>4500</v>
      </c>
      <c r="C30">
        <v>5000</v>
      </c>
      <c r="D30">
        <v>35</v>
      </c>
      <c r="E30" t="s">
        <v>34</v>
      </c>
      <c r="F30">
        <f t="shared" si="4"/>
        <v>3.1746031746031759E-3</v>
      </c>
    </row>
    <row r="31" spans="1:7" x14ac:dyDescent="0.35">
      <c r="A31" t="s">
        <v>33</v>
      </c>
      <c r="B31">
        <v>6000</v>
      </c>
      <c r="C31">
        <v>11000</v>
      </c>
      <c r="D31">
        <v>65</v>
      </c>
      <c r="E31" s="1" t="s">
        <v>41</v>
      </c>
      <c r="F31">
        <f t="shared" si="4"/>
        <v>1.282051282051282E-2</v>
      </c>
    </row>
    <row r="32" spans="1:7" x14ac:dyDescent="0.35">
      <c r="A32" t="s">
        <v>33</v>
      </c>
      <c r="B32">
        <v>3500</v>
      </c>
      <c r="C32">
        <v>7000</v>
      </c>
      <c r="D32">
        <v>30</v>
      </c>
      <c r="E32" s="1" t="s">
        <v>41</v>
      </c>
      <c r="F32">
        <f t="shared" si="4"/>
        <v>3.3333333333333333E-2</v>
      </c>
      <c r="G32">
        <f t="shared" si="2"/>
        <v>1.8898223650461361E-2</v>
      </c>
    </row>
    <row r="33" spans="1:7" x14ac:dyDescent="0.35">
      <c r="A33" t="s">
        <v>33</v>
      </c>
      <c r="B33">
        <v>3500</v>
      </c>
      <c r="C33">
        <v>5000</v>
      </c>
      <c r="D33">
        <v>40</v>
      </c>
      <c r="E33" t="s">
        <v>34</v>
      </c>
      <c r="F33">
        <f t="shared" si="4"/>
        <v>1.0714285714285714E-2</v>
      </c>
    </row>
    <row r="34" spans="1:7" x14ac:dyDescent="0.35">
      <c r="A34" t="s">
        <v>33</v>
      </c>
      <c r="B34">
        <v>6000</v>
      </c>
      <c r="C34">
        <v>8500</v>
      </c>
      <c r="D34">
        <v>20</v>
      </c>
      <c r="E34" t="s">
        <v>34</v>
      </c>
      <c r="F34">
        <f t="shared" si="4"/>
        <v>2.0833333333333336E-2</v>
      </c>
    </row>
    <row r="35" spans="1:7" x14ac:dyDescent="0.35">
      <c r="A35" t="s">
        <v>33</v>
      </c>
      <c r="B35">
        <v>4500</v>
      </c>
      <c r="C35">
        <v>5000</v>
      </c>
      <c r="D35">
        <v>35</v>
      </c>
      <c r="E35" t="s">
        <v>34</v>
      </c>
      <c r="F35">
        <f t="shared" si="4"/>
        <v>3.1746031746031759E-3</v>
      </c>
    </row>
    <row r="36" spans="1:7" x14ac:dyDescent="0.35">
      <c r="A36" t="s">
        <v>33</v>
      </c>
      <c r="B36">
        <v>6000</v>
      </c>
      <c r="C36">
        <v>11000</v>
      </c>
      <c r="D36">
        <v>65</v>
      </c>
      <c r="E36" t="s">
        <v>34</v>
      </c>
      <c r="F36">
        <f t="shared" si="4"/>
        <v>1.282051282051282E-2</v>
      </c>
    </row>
    <row r="37" spans="1:7" x14ac:dyDescent="0.35">
      <c r="A37" t="s">
        <v>33</v>
      </c>
      <c r="B37">
        <v>3500</v>
      </c>
      <c r="C37">
        <v>7000</v>
      </c>
      <c r="D37">
        <v>30</v>
      </c>
      <c r="E37" t="s">
        <v>34</v>
      </c>
      <c r="F37">
        <f t="shared" si="4"/>
        <v>3.3333333333333333E-2</v>
      </c>
    </row>
    <row r="38" spans="1:7" x14ac:dyDescent="0.35">
      <c r="A38" t="s">
        <v>33</v>
      </c>
      <c r="B38">
        <v>6000</v>
      </c>
      <c r="C38">
        <v>11000</v>
      </c>
      <c r="D38">
        <v>65</v>
      </c>
      <c r="E38" s="1" t="s">
        <v>41</v>
      </c>
      <c r="F38">
        <f t="shared" si="4"/>
        <v>1.282051282051282E-2</v>
      </c>
      <c r="G38">
        <f>GEOMEAN(F38:F39)</f>
        <v>6.3796583529246078E-3</v>
      </c>
    </row>
    <row r="39" spans="1:7" x14ac:dyDescent="0.35">
      <c r="A39" t="s">
        <v>33</v>
      </c>
      <c r="B39">
        <v>4500</v>
      </c>
      <c r="C39">
        <v>5000</v>
      </c>
      <c r="D39">
        <v>35</v>
      </c>
      <c r="E39" t="s">
        <v>34</v>
      </c>
      <c r="F39">
        <f t="shared" si="4"/>
        <v>3.1746031746031759E-3</v>
      </c>
    </row>
    <row r="40" spans="1:7" x14ac:dyDescent="0.35">
      <c r="A40" t="s">
        <v>33</v>
      </c>
      <c r="B40">
        <v>6000</v>
      </c>
      <c r="C40">
        <v>8500</v>
      </c>
      <c r="D40">
        <v>20</v>
      </c>
      <c r="E40" t="s">
        <v>34</v>
      </c>
      <c r="F40">
        <f t="shared" si="4"/>
        <v>2.0833333333333336E-2</v>
      </c>
    </row>
    <row r="41" spans="1:7" x14ac:dyDescent="0.35">
      <c r="A41" t="s">
        <v>33</v>
      </c>
      <c r="B41">
        <v>3500</v>
      </c>
      <c r="C41">
        <v>5000</v>
      </c>
      <c r="D41">
        <v>40</v>
      </c>
      <c r="E41" t="s">
        <v>34</v>
      </c>
      <c r="F41">
        <f t="shared" si="4"/>
        <v>1.0714285714285714E-2</v>
      </c>
    </row>
    <row r="42" spans="1:7" x14ac:dyDescent="0.35">
      <c r="A42" t="s">
        <v>33</v>
      </c>
      <c r="B42">
        <v>3500</v>
      </c>
      <c r="C42">
        <v>5000</v>
      </c>
      <c r="D42">
        <v>40</v>
      </c>
      <c r="E42" t="s">
        <v>34</v>
      </c>
      <c r="F42">
        <f t="shared" si="4"/>
        <v>1.0714285714285714E-2</v>
      </c>
    </row>
    <row r="43" spans="1:7" x14ac:dyDescent="0.35">
      <c r="A43" t="s">
        <v>33</v>
      </c>
      <c r="B43">
        <v>6000</v>
      </c>
      <c r="C43">
        <v>11000</v>
      </c>
      <c r="D43">
        <v>65</v>
      </c>
      <c r="E43" t="s">
        <v>34</v>
      </c>
      <c r="F43">
        <f t="shared" si="4"/>
        <v>1.282051282051282E-2</v>
      </c>
    </row>
    <row r="44" spans="1:7" x14ac:dyDescent="0.35">
      <c r="A44" t="s">
        <v>33</v>
      </c>
      <c r="B44">
        <v>3500</v>
      </c>
      <c r="C44">
        <v>7000</v>
      </c>
      <c r="D44">
        <v>30</v>
      </c>
      <c r="E44" t="s">
        <v>34</v>
      </c>
      <c r="F44">
        <f t="shared" si="4"/>
        <v>3.3333333333333333E-2</v>
      </c>
    </row>
    <row r="45" spans="1:7" x14ac:dyDescent="0.35">
      <c r="A45" t="s">
        <v>33</v>
      </c>
      <c r="B45">
        <v>6000</v>
      </c>
      <c r="C45">
        <v>8500</v>
      </c>
      <c r="D45">
        <v>20</v>
      </c>
      <c r="E45" t="s">
        <v>34</v>
      </c>
      <c r="F45">
        <f t="shared" si="4"/>
        <v>2.0833333333333336E-2</v>
      </c>
    </row>
    <row r="46" spans="1:7" x14ac:dyDescent="0.35">
      <c r="A46" t="s">
        <v>33</v>
      </c>
      <c r="B46">
        <v>4500</v>
      </c>
      <c r="C46">
        <v>5000</v>
      </c>
      <c r="D46">
        <v>35</v>
      </c>
      <c r="E46" t="s">
        <v>34</v>
      </c>
      <c r="F46">
        <f t="shared" si="4"/>
        <v>3.1746031746031759E-3</v>
      </c>
    </row>
    <row r="47" spans="1:7" x14ac:dyDescent="0.35">
      <c r="A47" t="s">
        <v>33</v>
      </c>
      <c r="B47">
        <v>6000</v>
      </c>
      <c r="C47">
        <v>11000</v>
      </c>
      <c r="D47">
        <v>65</v>
      </c>
      <c r="E47" t="s">
        <v>34</v>
      </c>
      <c r="F47">
        <f t="shared" si="4"/>
        <v>1.282051282051282E-2</v>
      </c>
    </row>
    <row r="48" spans="1:7" x14ac:dyDescent="0.35">
      <c r="A48" t="s">
        <v>33</v>
      </c>
      <c r="B48">
        <v>3500</v>
      </c>
      <c r="C48">
        <v>5000</v>
      </c>
      <c r="D48">
        <v>40</v>
      </c>
      <c r="E48" t="s">
        <v>34</v>
      </c>
      <c r="F48">
        <f t="shared" si="4"/>
        <v>1.0714285714285714E-2</v>
      </c>
    </row>
    <row r="49" spans="1:6" x14ac:dyDescent="0.35">
      <c r="A49" t="s">
        <v>33</v>
      </c>
      <c r="B49">
        <v>6000</v>
      </c>
      <c r="C49">
        <v>8500</v>
      </c>
      <c r="D49">
        <v>20</v>
      </c>
      <c r="E49" t="s">
        <v>34</v>
      </c>
      <c r="F49">
        <f t="shared" si="4"/>
        <v>2.0833333333333336E-2</v>
      </c>
    </row>
    <row r="50" spans="1:6" x14ac:dyDescent="0.35">
      <c r="A50" t="s">
        <v>33</v>
      </c>
      <c r="B50">
        <v>3500</v>
      </c>
      <c r="C50">
        <v>7000</v>
      </c>
      <c r="D50">
        <v>30</v>
      </c>
      <c r="E50" t="s">
        <v>34</v>
      </c>
      <c r="F50">
        <f t="shared" si="4"/>
        <v>3.3333333333333333E-2</v>
      </c>
    </row>
    <row r="51" spans="1:6" x14ac:dyDescent="0.35">
      <c r="A51" t="s">
        <v>33</v>
      </c>
      <c r="B51">
        <v>4500</v>
      </c>
      <c r="C51">
        <v>5000</v>
      </c>
      <c r="D51">
        <v>35</v>
      </c>
      <c r="E51" t="s">
        <v>34</v>
      </c>
      <c r="F51">
        <f t="shared" si="4"/>
        <v>3.1746031746031759E-3</v>
      </c>
    </row>
  </sheetData>
  <autoFilter ref="E1:E51" xr:uid="{9311DD9F-5FA2-41AF-8858-60433A31F66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0E2F-6820-4268-897B-776612F0574F}">
  <dimension ref="A1:H51"/>
  <sheetViews>
    <sheetView tabSelected="1" workbookViewId="0">
      <selection activeCell="H3" sqref="H3"/>
    </sheetView>
  </sheetViews>
  <sheetFormatPr defaultRowHeight="14.5" x14ac:dyDescent="0.35"/>
  <cols>
    <col min="6" max="6" width="14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H1" t="s">
        <v>44</v>
      </c>
    </row>
    <row r="2" spans="1:8" x14ac:dyDescent="0.35">
      <c r="A2" t="s">
        <v>40</v>
      </c>
      <c r="B2">
        <v>2000</v>
      </c>
      <c r="C2">
        <v>3500</v>
      </c>
      <c r="D2">
        <v>25</v>
      </c>
      <c r="E2" t="s">
        <v>41</v>
      </c>
      <c r="F2">
        <f>((C2/B2)-1)/D2</f>
        <v>0.03</v>
      </c>
      <c r="G2">
        <f>GEOMEAN(F2:F3)</f>
        <v>3.4759267640876598E-2</v>
      </c>
      <c r="H2">
        <f>AVERAGE(G2:G47)</f>
        <v>2.3906718170293256E-2</v>
      </c>
    </row>
    <row r="3" spans="1:8" x14ac:dyDescent="0.35">
      <c r="A3" t="s">
        <v>40</v>
      </c>
      <c r="B3">
        <v>4700</v>
      </c>
      <c r="C3">
        <v>10000</v>
      </c>
      <c r="D3">
        <v>28</v>
      </c>
      <c r="E3" s="1" t="s">
        <v>34</v>
      </c>
      <c r="F3">
        <f t="shared" ref="F3:F51" si="0">((C3/B3)-1)/D3</f>
        <v>4.0273556231003038E-2</v>
      </c>
    </row>
    <row r="4" spans="1:8" x14ac:dyDescent="0.35">
      <c r="A4" t="s">
        <v>40</v>
      </c>
      <c r="B4">
        <v>5000</v>
      </c>
      <c r="C4">
        <v>6500</v>
      </c>
      <c r="D4">
        <v>30</v>
      </c>
      <c r="E4" t="s">
        <v>41</v>
      </c>
      <c r="F4">
        <f t="shared" si="0"/>
        <v>1.0000000000000002E-2</v>
      </c>
    </row>
    <row r="5" spans="1:8" x14ac:dyDescent="0.35">
      <c r="A5" t="s">
        <v>40</v>
      </c>
      <c r="B5">
        <v>6700</v>
      </c>
      <c r="C5">
        <v>11000</v>
      </c>
      <c r="D5">
        <v>50</v>
      </c>
      <c r="E5" t="s">
        <v>41</v>
      </c>
      <c r="F5">
        <f t="shared" si="0"/>
        <v>1.283582089552239E-2</v>
      </c>
    </row>
    <row r="6" spans="1:8" x14ac:dyDescent="0.35">
      <c r="A6" t="s">
        <v>40</v>
      </c>
      <c r="B6">
        <v>8000</v>
      </c>
      <c r="C6">
        <v>10500</v>
      </c>
      <c r="D6">
        <v>20</v>
      </c>
      <c r="E6" t="s">
        <v>41</v>
      </c>
      <c r="F6">
        <f t="shared" si="0"/>
        <v>1.5625E-2</v>
      </c>
      <c r="G6">
        <f>GEOMEAN(F6:F7)</f>
        <v>1.4161910234588317E-2</v>
      </c>
    </row>
    <row r="7" spans="1:8" x14ac:dyDescent="0.35">
      <c r="A7" t="s">
        <v>40</v>
      </c>
      <c r="B7">
        <v>6700</v>
      </c>
      <c r="C7">
        <v>11000</v>
      </c>
      <c r="D7">
        <v>50</v>
      </c>
      <c r="E7" s="1" t="s">
        <v>34</v>
      </c>
      <c r="F7">
        <f t="shared" si="0"/>
        <v>1.283582089552239E-2</v>
      </c>
    </row>
    <row r="8" spans="1:8" x14ac:dyDescent="0.35">
      <c r="A8" t="s">
        <v>40</v>
      </c>
      <c r="B8">
        <v>5000</v>
      </c>
      <c r="C8">
        <v>6500</v>
      </c>
      <c r="D8">
        <v>30</v>
      </c>
      <c r="E8" t="s">
        <v>41</v>
      </c>
      <c r="F8">
        <f t="shared" si="0"/>
        <v>1.0000000000000002E-2</v>
      </c>
      <c r="G8">
        <f>GEOMEAN(F8:F9)</f>
        <v>2.0068272529294356E-2</v>
      </c>
    </row>
    <row r="9" spans="1:8" x14ac:dyDescent="0.35">
      <c r="A9" t="s">
        <v>40</v>
      </c>
      <c r="B9">
        <v>4700</v>
      </c>
      <c r="C9">
        <v>10000</v>
      </c>
      <c r="D9">
        <v>28</v>
      </c>
      <c r="E9" s="1" t="s">
        <v>34</v>
      </c>
      <c r="F9">
        <f t="shared" si="0"/>
        <v>4.0273556231003038E-2</v>
      </c>
    </row>
    <row r="10" spans="1:8" x14ac:dyDescent="0.35">
      <c r="A10" t="s">
        <v>40</v>
      </c>
      <c r="B10">
        <v>8000</v>
      </c>
      <c r="C10">
        <v>10500</v>
      </c>
      <c r="D10">
        <v>20</v>
      </c>
      <c r="E10" t="s">
        <v>41</v>
      </c>
      <c r="F10">
        <f t="shared" si="0"/>
        <v>1.5625E-2</v>
      </c>
    </row>
    <row r="11" spans="1:8" x14ac:dyDescent="0.35">
      <c r="A11" t="s">
        <v>40</v>
      </c>
      <c r="B11">
        <v>2000</v>
      </c>
      <c r="C11">
        <v>3500</v>
      </c>
      <c r="D11">
        <v>25</v>
      </c>
      <c r="E11" t="s">
        <v>41</v>
      </c>
      <c r="F11">
        <f t="shared" si="0"/>
        <v>0.03</v>
      </c>
      <c r="G11">
        <f>GEOMEAN(F11:F12)</f>
        <v>1.9623318446829314E-2</v>
      </c>
    </row>
    <row r="12" spans="1:8" x14ac:dyDescent="0.35">
      <c r="A12" t="s">
        <v>40</v>
      </c>
      <c r="B12">
        <v>6700</v>
      </c>
      <c r="C12">
        <v>11000</v>
      </c>
      <c r="D12">
        <v>50</v>
      </c>
      <c r="E12" s="1" t="s">
        <v>34</v>
      </c>
      <c r="F12">
        <f t="shared" si="0"/>
        <v>1.283582089552239E-2</v>
      </c>
    </row>
    <row r="13" spans="1:8" x14ac:dyDescent="0.35">
      <c r="A13" t="s">
        <v>40</v>
      </c>
      <c r="B13">
        <v>5000</v>
      </c>
      <c r="C13">
        <v>6500</v>
      </c>
      <c r="D13">
        <v>30</v>
      </c>
      <c r="E13" t="s">
        <v>41</v>
      </c>
      <c r="F13">
        <f t="shared" si="0"/>
        <v>1.0000000000000002E-2</v>
      </c>
    </row>
    <row r="14" spans="1:8" x14ac:dyDescent="0.35">
      <c r="A14" t="s">
        <v>40</v>
      </c>
      <c r="B14">
        <v>2000</v>
      </c>
      <c r="C14">
        <v>3500</v>
      </c>
      <c r="D14">
        <v>25</v>
      </c>
      <c r="E14" t="s">
        <v>41</v>
      </c>
      <c r="F14">
        <f t="shared" si="0"/>
        <v>0.03</v>
      </c>
    </row>
    <row r="15" spans="1:8" x14ac:dyDescent="0.35">
      <c r="A15" t="s">
        <v>40</v>
      </c>
      <c r="B15">
        <v>4700</v>
      </c>
      <c r="C15">
        <v>10000</v>
      </c>
      <c r="D15">
        <v>28</v>
      </c>
      <c r="E15" t="s">
        <v>41</v>
      </c>
      <c r="F15">
        <f t="shared" si="0"/>
        <v>4.0273556231003038E-2</v>
      </c>
    </row>
    <row r="16" spans="1:8" x14ac:dyDescent="0.35">
      <c r="A16" t="s">
        <v>40</v>
      </c>
      <c r="B16">
        <v>8000</v>
      </c>
      <c r="C16">
        <v>10500</v>
      </c>
      <c r="D16">
        <v>20</v>
      </c>
      <c r="E16" t="s">
        <v>41</v>
      </c>
      <c r="F16">
        <f t="shared" si="0"/>
        <v>1.5625E-2</v>
      </c>
    </row>
    <row r="17" spans="1:7" x14ac:dyDescent="0.35">
      <c r="A17" t="s">
        <v>40</v>
      </c>
      <c r="B17">
        <v>6700</v>
      </c>
      <c r="C17">
        <v>11000</v>
      </c>
      <c r="D17">
        <v>50</v>
      </c>
      <c r="E17" t="s">
        <v>41</v>
      </c>
      <c r="F17">
        <f t="shared" si="0"/>
        <v>1.283582089552239E-2</v>
      </c>
    </row>
    <row r="18" spans="1:7" x14ac:dyDescent="0.35">
      <c r="A18" t="s">
        <v>40</v>
      </c>
      <c r="B18">
        <v>8000</v>
      </c>
      <c r="C18">
        <v>10500</v>
      </c>
      <c r="D18">
        <v>20</v>
      </c>
      <c r="E18" t="s">
        <v>41</v>
      </c>
      <c r="F18">
        <f t="shared" si="0"/>
        <v>1.5625E-2</v>
      </c>
    </row>
    <row r="19" spans="1:7" x14ac:dyDescent="0.35">
      <c r="A19" t="s">
        <v>40</v>
      </c>
      <c r="B19">
        <v>2000</v>
      </c>
      <c r="C19">
        <v>3500</v>
      </c>
      <c r="D19">
        <v>25</v>
      </c>
      <c r="E19" t="s">
        <v>41</v>
      </c>
      <c r="F19">
        <f t="shared" si="0"/>
        <v>0.03</v>
      </c>
      <c r="G19">
        <f>GEOMEAN(F19:F20)</f>
        <v>3.4759267640876598E-2</v>
      </c>
    </row>
    <row r="20" spans="1:7" x14ac:dyDescent="0.35">
      <c r="A20" t="s">
        <v>40</v>
      </c>
      <c r="B20">
        <v>4700</v>
      </c>
      <c r="C20">
        <v>10000</v>
      </c>
      <c r="D20">
        <v>28</v>
      </c>
      <c r="E20" s="1" t="s">
        <v>34</v>
      </c>
      <c r="F20">
        <f t="shared" si="0"/>
        <v>4.0273556231003038E-2</v>
      </c>
    </row>
    <row r="21" spans="1:7" x14ac:dyDescent="0.35">
      <c r="A21" t="s">
        <v>40</v>
      </c>
      <c r="B21">
        <v>5000</v>
      </c>
      <c r="C21">
        <v>6500</v>
      </c>
      <c r="D21">
        <v>30</v>
      </c>
      <c r="E21" t="s">
        <v>41</v>
      </c>
      <c r="F21">
        <f t="shared" si="0"/>
        <v>1.0000000000000002E-2</v>
      </c>
    </row>
    <row r="22" spans="1:7" x14ac:dyDescent="0.35">
      <c r="A22" t="s">
        <v>40</v>
      </c>
      <c r="B22">
        <v>2000</v>
      </c>
      <c r="C22">
        <v>3500</v>
      </c>
      <c r="D22">
        <v>25</v>
      </c>
      <c r="E22" t="s">
        <v>41</v>
      </c>
      <c r="F22">
        <f t="shared" si="0"/>
        <v>0.03</v>
      </c>
    </row>
    <row r="23" spans="1:7" x14ac:dyDescent="0.35">
      <c r="A23" t="s">
        <v>40</v>
      </c>
      <c r="B23">
        <v>6700</v>
      </c>
      <c r="C23">
        <v>11000</v>
      </c>
      <c r="D23">
        <v>50</v>
      </c>
      <c r="E23" t="s">
        <v>41</v>
      </c>
      <c r="F23">
        <f t="shared" si="0"/>
        <v>1.283582089552239E-2</v>
      </c>
    </row>
    <row r="24" spans="1:7" x14ac:dyDescent="0.35">
      <c r="A24" t="s">
        <v>40</v>
      </c>
      <c r="B24">
        <v>5000</v>
      </c>
      <c r="C24">
        <v>6500</v>
      </c>
      <c r="D24">
        <v>30</v>
      </c>
      <c r="E24" t="s">
        <v>41</v>
      </c>
      <c r="F24">
        <f t="shared" si="0"/>
        <v>1.0000000000000002E-2</v>
      </c>
    </row>
    <row r="25" spans="1:7" x14ac:dyDescent="0.35">
      <c r="A25" t="s">
        <v>40</v>
      </c>
      <c r="B25">
        <v>4700</v>
      </c>
      <c r="C25">
        <v>10000</v>
      </c>
      <c r="D25">
        <v>28</v>
      </c>
      <c r="E25" t="s">
        <v>41</v>
      </c>
      <c r="F25">
        <f t="shared" si="0"/>
        <v>4.0273556231003038E-2</v>
      </c>
    </row>
    <row r="26" spans="1:7" x14ac:dyDescent="0.35">
      <c r="A26" t="s">
        <v>40</v>
      </c>
      <c r="B26">
        <v>8000</v>
      </c>
      <c r="C26">
        <v>10500</v>
      </c>
      <c r="D26">
        <v>20</v>
      </c>
      <c r="E26" t="s">
        <v>41</v>
      </c>
      <c r="F26">
        <f t="shared" si="0"/>
        <v>1.5625E-2</v>
      </c>
    </row>
    <row r="27" spans="1:7" x14ac:dyDescent="0.35">
      <c r="A27" t="s">
        <v>40</v>
      </c>
      <c r="B27">
        <v>8000</v>
      </c>
      <c r="C27">
        <v>10500</v>
      </c>
      <c r="D27">
        <v>20</v>
      </c>
      <c r="E27" t="s">
        <v>41</v>
      </c>
      <c r="F27">
        <f t="shared" si="0"/>
        <v>1.5625E-2</v>
      </c>
    </row>
    <row r="28" spans="1:7" x14ac:dyDescent="0.35">
      <c r="A28" t="s">
        <v>40</v>
      </c>
      <c r="B28">
        <v>2000</v>
      </c>
      <c r="C28">
        <v>3500</v>
      </c>
      <c r="D28">
        <v>25</v>
      </c>
      <c r="E28" t="s">
        <v>41</v>
      </c>
      <c r="F28">
        <f t="shared" si="0"/>
        <v>0.03</v>
      </c>
    </row>
    <row r="29" spans="1:7" x14ac:dyDescent="0.35">
      <c r="A29" t="s">
        <v>40</v>
      </c>
      <c r="B29">
        <v>5000</v>
      </c>
      <c r="C29">
        <v>6500</v>
      </c>
      <c r="D29">
        <v>30</v>
      </c>
      <c r="E29" t="s">
        <v>41</v>
      </c>
      <c r="F29">
        <f t="shared" si="0"/>
        <v>1.0000000000000002E-2</v>
      </c>
      <c r="G29">
        <f>GEOMEAN(F29:F30)</f>
        <v>2.0068272529294356E-2</v>
      </c>
    </row>
    <row r="30" spans="1:7" x14ac:dyDescent="0.35">
      <c r="A30" t="s">
        <v>40</v>
      </c>
      <c r="B30">
        <v>4700</v>
      </c>
      <c r="C30">
        <v>10000</v>
      </c>
      <c r="D30">
        <v>28</v>
      </c>
      <c r="E30" s="1" t="s">
        <v>34</v>
      </c>
      <c r="F30">
        <f t="shared" si="0"/>
        <v>4.0273556231003038E-2</v>
      </c>
    </row>
    <row r="31" spans="1:7" x14ac:dyDescent="0.35">
      <c r="A31" t="s">
        <v>40</v>
      </c>
      <c r="B31">
        <v>6700</v>
      </c>
      <c r="C31">
        <v>11000</v>
      </c>
      <c r="D31">
        <v>50</v>
      </c>
      <c r="E31" t="s">
        <v>41</v>
      </c>
      <c r="F31">
        <f t="shared" si="0"/>
        <v>1.283582089552239E-2</v>
      </c>
    </row>
    <row r="32" spans="1:7" x14ac:dyDescent="0.35">
      <c r="A32" t="s">
        <v>40</v>
      </c>
      <c r="B32">
        <v>6700</v>
      </c>
      <c r="C32">
        <v>11000</v>
      </c>
      <c r="D32">
        <v>50</v>
      </c>
      <c r="E32" t="s">
        <v>41</v>
      </c>
      <c r="F32">
        <f t="shared" si="0"/>
        <v>1.283582089552239E-2</v>
      </c>
    </row>
    <row r="33" spans="1:6" x14ac:dyDescent="0.35">
      <c r="A33" t="s">
        <v>40</v>
      </c>
      <c r="B33">
        <v>4700</v>
      </c>
      <c r="C33">
        <v>10000</v>
      </c>
      <c r="D33">
        <v>28</v>
      </c>
      <c r="E33" t="s">
        <v>41</v>
      </c>
      <c r="F33">
        <f t="shared" si="0"/>
        <v>4.0273556231003038E-2</v>
      </c>
    </row>
    <row r="34" spans="1:6" x14ac:dyDescent="0.35">
      <c r="A34" t="s">
        <v>40</v>
      </c>
      <c r="B34">
        <v>5000</v>
      </c>
      <c r="C34">
        <v>6500</v>
      </c>
      <c r="D34">
        <v>30</v>
      </c>
      <c r="E34" t="s">
        <v>41</v>
      </c>
      <c r="F34">
        <f t="shared" si="0"/>
        <v>1.0000000000000002E-2</v>
      </c>
    </row>
    <row r="35" spans="1:6" x14ac:dyDescent="0.35">
      <c r="A35" t="s">
        <v>40</v>
      </c>
      <c r="B35">
        <v>2000</v>
      </c>
      <c r="C35">
        <v>3500</v>
      </c>
      <c r="D35">
        <v>25</v>
      </c>
      <c r="E35" t="s">
        <v>41</v>
      </c>
      <c r="F35">
        <f t="shared" si="0"/>
        <v>0.03</v>
      </c>
    </row>
    <row r="36" spans="1:6" x14ac:dyDescent="0.35">
      <c r="A36" t="s">
        <v>40</v>
      </c>
      <c r="B36">
        <v>8000</v>
      </c>
      <c r="C36">
        <v>10500</v>
      </c>
      <c r="D36">
        <v>20</v>
      </c>
      <c r="E36" t="s">
        <v>41</v>
      </c>
      <c r="F36">
        <f t="shared" si="0"/>
        <v>1.5625E-2</v>
      </c>
    </row>
    <row r="37" spans="1:6" x14ac:dyDescent="0.35">
      <c r="A37" t="s">
        <v>40</v>
      </c>
      <c r="B37">
        <v>5000</v>
      </c>
      <c r="C37">
        <v>6500</v>
      </c>
      <c r="D37">
        <v>30</v>
      </c>
      <c r="E37" t="s">
        <v>41</v>
      </c>
      <c r="F37">
        <f t="shared" si="0"/>
        <v>1.0000000000000002E-2</v>
      </c>
    </row>
    <row r="38" spans="1:6" x14ac:dyDescent="0.35">
      <c r="A38" t="s">
        <v>40</v>
      </c>
      <c r="B38">
        <v>2000</v>
      </c>
      <c r="C38">
        <v>3500</v>
      </c>
      <c r="D38">
        <v>25</v>
      </c>
      <c r="E38" t="s">
        <v>41</v>
      </c>
      <c r="F38">
        <f t="shared" si="0"/>
        <v>0.03</v>
      </c>
    </row>
    <row r="39" spans="1:6" x14ac:dyDescent="0.35">
      <c r="A39" t="s">
        <v>40</v>
      </c>
      <c r="B39">
        <v>6700</v>
      </c>
      <c r="C39">
        <v>11000</v>
      </c>
      <c r="D39">
        <v>50</v>
      </c>
      <c r="E39" t="s">
        <v>41</v>
      </c>
      <c r="F39">
        <f t="shared" si="0"/>
        <v>1.283582089552239E-2</v>
      </c>
    </row>
    <row r="40" spans="1:6" x14ac:dyDescent="0.35">
      <c r="A40" t="s">
        <v>40</v>
      </c>
      <c r="B40">
        <v>8000</v>
      </c>
      <c r="C40">
        <v>10500</v>
      </c>
      <c r="D40">
        <v>20</v>
      </c>
      <c r="E40" t="s">
        <v>41</v>
      </c>
      <c r="F40">
        <f t="shared" si="0"/>
        <v>1.5625E-2</v>
      </c>
    </row>
    <row r="41" spans="1:6" x14ac:dyDescent="0.35">
      <c r="A41" t="s">
        <v>40</v>
      </c>
      <c r="B41">
        <v>4700</v>
      </c>
      <c r="C41">
        <v>10000</v>
      </c>
      <c r="D41">
        <v>28</v>
      </c>
      <c r="E41" t="s">
        <v>41</v>
      </c>
      <c r="F41">
        <f t="shared" si="0"/>
        <v>4.0273556231003038E-2</v>
      </c>
    </row>
    <row r="42" spans="1:6" x14ac:dyDescent="0.35">
      <c r="A42" t="s">
        <v>40</v>
      </c>
      <c r="B42">
        <v>5000</v>
      </c>
      <c r="C42">
        <v>6500</v>
      </c>
      <c r="D42">
        <v>30</v>
      </c>
      <c r="E42" t="s">
        <v>41</v>
      </c>
      <c r="F42">
        <f t="shared" si="0"/>
        <v>1.0000000000000002E-2</v>
      </c>
    </row>
    <row r="43" spans="1:6" x14ac:dyDescent="0.35">
      <c r="A43" t="s">
        <v>40</v>
      </c>
      <c r="B43">
        <v>2000</v>
      </c>
      <c r="C43">
        <v>3500</v>
      </c>
      <c r="D43">
        <v>25</v>
      </c>
      <c r="E43" t="s">
        <v>41</v>
      </c>
      <c r="F43">
        <f t="shared" si="0"/>
        <v>0.03</v>
      </c>
    </row>
    <row r="44" spans="1:6" x14ac:dyDescent="0.35">
      <c r="A44" t="s">
        <v>40</v>
      </c>
      <c r="B44">
        <v>4700</v>
      </c>
      <c r="C44">
        <v>10000</v>
      </c>
      <c r="D44">
        <v>28</v>
      </c>
      <c r="E44" t="s">
        <v>41</v>
      </c>
      <c r="F44">
        <f t="shared" si="0"/>
        <v>4.0273556231003038E-2</v>
      </c>
    </row>
    <row r="45" spans="1:6" x14ac:dyDescent="0.35">
      <c r="A45" t="s">
        <v>40</v>
      </c>
      <c r="B45">
        <v>6700</v>
      </c>
      <c r="C45">
        <v>11000</v>
      </c>
      <c r="D45">
        <v>50</v>
      </c>
      <c r="E45" t="s">
        <v>41</v>
      </c>
      <c r="F45">
        <f t="shared" si="0"/>
        <v>1.283582089552239E-2</v>
      </c>
    </row>
    <row r="46" spans="1:6" x14ac:dyDescent="0.35">
      <c r="A46" t="s">
        <v>40</v>
      </c>
      <c r="B46">
        <v>8000</v>
      </c>
      <c r="C46">
        <v>10500</v>
      </c>
      <c r="D46">
        <v>20</v>
      </c>
      <c r="E46" t="s">
        <v>41</v>
      </c>
      <c r="F46">
        <f t="shared" si="0"/>
        <v>1.5625E-2</v>
      </c>
    </row>
    <row r="47" spans="1:6" x14ac:dyDescent="0.35">
      <c r="A47" t="s">
        <v>40</v>
      </c>
      <c r="B47">
        <v>2000</v>
      </c>
      <c r="C47">
        <v>3500</v>
      </c>
      <c r="D47">
        <v>25</v>
      </c>
      <c r="E47" t="s">
        <v>41</v>
      </c>
      <c r="F47">
        <f t="shared" si="0"/>
        <v>0.03</v>
      </c>
    </row>
    <row r="48" spans="1:6" x14ac:dyDescent="0.35">
      <c r="A48" t="s">
        <v>40</v>
      </c>
      <c r="B48">
        <v>4700</v>
      </c>
      <c r="C48">
        <v>10000</v>
      </c>
      <c r="D48">
        <v>28</v>
      </c>
      <c r="E48" t="s">
        <v>41</v>
      </c>
      <c r="F48">
        <f t="shared" si="0"/>
        <v>4.0273556231003038E-2</v>
      </c>
    </row>
    <row r="49" spans="1:6" x14ac:dyDescent="0.35">
      <c r="A49" t="s">
        <v>40</v>
      </c>
      <c r="B49">
        <v>8000</v>
      </c>
      <c r="C49">
        <v>10500</v>
      </c>
      <c r="D49">
        <v>20</v>
      </c>
      <c r="E49" t="s">
        <v>41</v>
      </c>
      <c r="F49">
        <f t="shared" si="0"/>
        <v>1.5625E-2</v>
      </c>
    </row>
    <row r="50" spans="1:6" x14ac:dyDescent="0.35">
      <c r="A50" t="s">
        <v>40</v>
      </c>
      <c r="B50">
        <v>5000</v>
      </c>
      <c r="C50">
        <v>6500</v>
      </c>
      <c r="D50">
        <v>30</v>
      </c>
      <c r="E50" t="s">
        <v>41</v>
      </c>
      <c r="F50">
        <f t="shared" si="0"/>
        <v>1.0000000000000002E-2</v>
      </c>
    </row>
    <row r="51" spans="1:6" x14ac:dyDescent="0.35">
      <c r="A51" t="s">
        <v>40</v>
      </c>
      <c r="B51">
        <v>6700</v>
      </c>
      <c r="C51">
        <v>11000</v>
      </c>
      <c r="D51">
        <v>50</v>
      </c>
      <c r="E51" t="s">
        <v>41</v>
      </c>
      <c r="F51">
        <f t="shared" si="0"/>
        <v>1.283582089552239E-2</v>
      </c>
    </row>
  </sheetData>
  <autoFilter ref="E1:E1048526" xr:uid="{6D730E2F-6820-4268-897B-776612F057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006_solo_project_2025-11-20_22h</vt:lpstr>
      <vt:lpstr>Sheet1</vt:lpstr>
      <vt:lpstr>lose frame</vt:lpstr>
      <vt:lpstr>gain frame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bharvi mapara</cp:lastModifiedBy>
  <dcterms:created xsi:type="dcterms:W3CDTF">2025-11-21T11:13:25Z</dcterms:created>
  <dcterms:modified xsi:type="dcterms:W3CDTF">2025-11-21T11:13:25Z</dcterms:modified>
</cp:coreProperties>
</file>